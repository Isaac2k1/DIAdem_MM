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om\DIAdem\DIAdem\abbext\ExportTest\"/>
    </mc:Choice>
  </mc:AlternateContent>
  <bookViews>
    <workbookView xWindow="480" yWindow="180" windowWidth="27795" windowHeight="14310"/>
  </bookViews>
  <sheets>
    <sheet name="Export Test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C44" i="1" l="1"/>
  <c r="C43" i="1"/>
</calcChain>
</file>

<file path=xl/comments1.xml><?xml version="1.0" encoding="utf-8"?>
<comments xmlns="http://schemas.openxmlformats.org/spreadsheetml/2006/main">
  <authors>
    <author>chjosch2</author>
    <author>Alex-Zili Huang</author>
    <author>Daniel Ohlsson</author>
  </authors>
  <commentList>
    <comment ref="B15" authorId="0" shapeId="0">
      <text>
        <r>
          <rPr>
            <sz val="9"/>
            <color indexed="81"/>
            <rFont val="Tahoma"/>
            <family val="2"/>
          </rPr>
          <t>Check naming with Diadem, by using the "Load Test" function in DIAdem under "ABB" tab</t>
        </r>
      </text>
    </comment>
    <comment ref="C15" authorId="0" shapeId="0">
      <text>
        <r>
          <rPr>
            <sz val="9"/>
            <color indexed="81"/>
            <rFont val="Tahoma"/>
            <family val="2"/>
          </rPr>
          <t xml:space="preserve">Enter new name for the header in the .sdf file. The usual convention is:
"NAME_[UNIT]:" </t>
        </r>
      </text>
    </comment>
    <comment ref="D15" authorId="0" shapeId="0">
      <text>
        <r>
          <rPr>
            <b/>
            <sz val="9"/>
            <color indexed="81"/>
            <rFont val="Tahoma"/>
            <family val="2"/>
          </rPr>
          <t>Column in SDF File</t>
        </r>
      </text>
    </comment>
    <comment ref="E15" authorId="1" shapeId="0">
      <text>
        <r>
          <rPr>
            <b/>
            <sz val="9"/>
            <color indexed="81"/>
            <rFont val="Tahoma"/>
            <family val="2"/>
          </rPr>
          <t>The channels are multiplied these values in order to be converted to SI units.</t>
        </r>
      </text>
    </comment>
    <comment ref="F15" authorId="0" shapeId="0">
      <text>
        <r>
          <rPr>
            <sz val="9"/>
            <color indexed="81"/>
            <rFont val="Tahoma"/>
            <family val="2"/>
          </rPr>
          <t>If you do not want to set a Start Value, leave it empty.</t>
        </r>
      </text>
    </comment>
    <comment ref="G15" authorId="0" shapeId="0">
      <text>
        <r>
          <rPr>
            <sz val="9"/>
            <color indexed="81"/>
            <rFont val="Tahoma"/>
            <family val="2"/>
          </rPr>
          <t>Select linear if the channel is a linear travel measurement (no linkage).
Select polynomial if the travel curve should be converted over a linkage/gear.</t>
        </r>
      </text>
    </comment>
    <comment ref="H15" authorId="0" shapeId="0">
      <text>
        <r>
          <rPr>
            <sz val="9"/>
            <color indexed="81"/>
            <rFont val="Tahoma"/>
            <family val="2"/>
          </rPr>
          <t>Select for which kind of test this values are mesured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All Channels with the same number will be plotted on the same page in the Report.
You usually seperate the channels by unit. 
-1, -2 and -3 are special plots for current, arc voltage and TRV</t>
        </r>
      </text>
    </comment>
    <comment ref="J15" authorId="0" shapeId="0">
      <text>
        <r>
          <rPr>
            <sz val="9"/>
            <color indexed="81"/>
            <rFont val="Tahoma"/>
            <family val="2"/>
          </rPr>
          <t>Set TRUE if DIAdem should remove inductance of this channel.</t>
        </r>
      </text>
    </comment>
    <comment ref="I17" authorId="0" shapeId="0">
      <text>
        <r>
          <rPr>
            <sz val="9"/>
            <color indexed="81"/>
            <rFont val="Tahoma"/>
            <family val="2"/>
          </rPr>
          <t xml:space="preserve">only the I-Shunt channel should have -1. Read the Description why.
</t>
        </r>
      </text>
    </comment>
    <comment ref="F18" authorId="1" shapeId="0">
      <text>
        <r>
          <rPr>
            <sz val="9"/>
            <color indexed="81"/>
            <rFont val="Tahoma"/>
            <family val="2"/>
          </rPr>
          <t>Start Value (deg), used to determine the start value in for the travel. Only type a value if the data comes in degree</t>
        </r>
      </text>
    </comment>
    <comment ref="F19" authorId="1" shapeId="0">
      <text>
        <r>
          <rPr>
            <sz val="9"/>
            <color indexed="81"/>
            <rFont val="Tahoma"/>
            <family val="2"/>
          </rPr>
          <t>One can find the Start Value for pressure in Power_Test sheet (convert value to Pa)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only the arc voltage channel should have -2. Read the Description why.</t>
        </r>
      </text>
    </comment>
    <comment ref="I21" authorId="1" shapeId="0">
      <text>
        <r>
          <rPr>
            <b/>
            <sz val="9"/>
            <color indexed="81"/>
            <rFont val="Tahoma"/>
            <family val="2"/>
          </rPr>
          <t>only the TRV channel should have -3. Read the Description why.</t>
        </r>
      </text>
    </comment>
    <comment ref="F22" authorId="1" shapeId="0">
      <text>
        <r>
          <rPr>
            <sz val="9"/>
            <color indexed="81"/>
            <rFont val="Tahoma"/>
            <family val="2"/>
          </rPr>
          <t>One can find the Start Value for pressure in Power_Test sheet (convert value to Pa)</t>
        </r>
      </text>
    </comment>
    <comment ref="B42" authorId="2" shapeId="0">
      <text>
        <r>
          <rPr>
            <sz val="9"/>
            <color indexed="81"/>
            <rFont val="Tahoma"/>
            <family val="2"/>
          </rPr>
          <t xml:space="preserve">Rated ferquency is enough
</t>
        </r>
      </text>
    </comment>
  </commentList>
</comments>
</file>

<file path=xl/sharedStrings.xml><?xml version="1.0" encoding="utf-8"?>
<sst xmlns="http://schemas.openxmlformats.org/spreadsheetml/2006/main" count="86" uniqueCount="75">
  <si>
    <t>Description</t>
  </si>
  <si>
    <t>Description of the Export Test Script</t>
  </si>
  <si>
    <t>1. In the Power_Test sheet, select the shots you want to export.</t>
  </si>
  <si>
    <t>The version of this Excel sheet has to be the same as the version of the Diadem script</t>
  </si>
  <si>
    <t>2. Check  Mechanical and Power Channel Names in DIAdem. Enter your extra channel names.</t>
  </si>
  <si>
    <t>3. Check Start Value for Pressure Channels (normally enter filling pressure in Pa).</t>
  </si>
  <si>
    <t>Purpose:</t>
  </si>
  <si>
    <t>4. Enter the other data. Additional help is placed in the comments</t>
  </si>
  <si>
    <t>This Script is here to easily extract Testdata from the Dataserver via DIAdem and keep repeditive work to a minimum.</t>
  </si>
  <si>
    <t>5. Export the config file in the same folder as the files you want to be exported</t>
  </si>
  <si>
    <t>6. Open The config file with the Export Test Script located in the ABB Menu</t>
  </si>
  <si>
    <t>Processing for each Channel:</t>
  </si>
  <si>
    <t>Read the Script Description on the right side if you don't know what Export Test is doing.</t>
  </si>
  <si>
    <t>1. Cut out unneeded data before the trigger Signal</t>
  </si>
  <si>
    <t>2. Make all channels Equidistant</t>
  </si>
  <si>
    <t>3. Save Shots to Excel File</t>
  </si>
  <si>
    <t>measured Channels</t>
  </si>
  <si>
    <t>4. Calculate travel curve (reverse curve if it is a C-Shot), calculate Polynom</t>
  </si>
  <si>
    <t>Channel Name</t>
  </si>
  <si>
    <t>Name in SDF File</t>
  </si>
  <si>
    <t>Column</t>
  </si>
  <si>
    <t>Mult Factor</t>
  </si>
  <si>
    <t>Start Value</t>
  </si>
  <si>
    <t>Travel Curve</t>
  </si>
  <si>
    <t>Use in</t>
  </si>
  <si>
    <t>Plot #</t>
  </si>
  <si>
    <t>Remove Inductance</t>
  </si>
  <si>
    <t>5. Apply Mult Factor and Start value, remove inductance</t>
  </si>
  <si>
    <t>Time</t>
  </si>
  <si>
    <t>Time_[s]:</t>
  </si>
  <si>
    <t>6. Save Shots in SDF file and create a PDF report.</t>
  </si>
  <si>
    <t>Current_[A]:</t>
  </si>
  <si>
    <t>Power</t>
  </si>
  <si>
    <t>Travel_puffer_[m]:</t>
  </si>
  <si>
    <t>NULL</t>
  </si>
  <si>
    <t>travel-Polynomial</t>
  </si>
  <si>
    <t>Power &amp; Mech</t>
  </si>
  <si>
    <t>Output for each Shot:</t>
  </si>
  <si>
    <t>Puffer_pressure_[Pa]:</t>
  </si>
  <si>
    <t>Excel file:</t>
  </si>
  <si>
    <t>Contains unformatted raw data.</t>
  </si>
  <si>
    <t>Arc_voltage_[V]:</t>
  </si>
  <si>
    <t>SDF file:</t>
  </si>
  <si>
    <t>Contains formatted data separated with a whitespace.</t>
  </si>
  <si>
    <t>TRV_[V]:</t>
  </si>
  <si>
    <t>PDF file:</t>
  </si>
  <si>
    <t>Contains the Report with different Plots</t>
  </si>
  <si>
    <t>Heating_pressure_[Pa]:</t>
  </si>
  <si>
    <t>Description how Export Test creates report files</t>
  </si>
  <si>
    <t>In the Report file, Export Test should create 2 special plots: current and arc voltage, current and TRV.</t>
  </si>
  <si>
    <t>All other channels should be plotted like the Mechchannels, Travel curve on the left axis and the different channels on the right.</t>
  </si>
  <si>
    <t>Thus, I-Shunt, arc voltage and TRV need to be flagged specificly, that's why they have the unique -1,-2 and -3 numbers.</t>
  </si>
  <si>
    <t>Please note: check channel names on the left with the name in the names in Diadem. If channel is unwanted, leave blank</t>
  </si>
  <si>
    <t>R &amp; I:</t>
  </si>
  <si>
    <r>
      <t xml:space="preserve">Mesure the peak value of current </t>
    </r>
    <r>
      <rPr>
        <i/>
        <sz val="10"/>
        <rFont val="Arial"/>
        <family val="2"/>
      </rPr>
      <t>Î</t>
    </r>
    <r>
      <rPr>
        <sz val="10"/>
        <rFont val="Arial"/>
        <family val="2"/>
      </rPr>
      <t xml:space="preserve"> and voltage </t>
    </r>
    <r>
      <rPr>
        <i/>
        <sz val="10"/>
        <rFont val="Arial"/>
        <family val="2"/>
      </rPr>
      <t>Û</t>
    </r>
    <r>
      <rPr>
        <sz val="10"/>
        <rFont val="Arial"/>
        <family val="2"/>
      </rPr>
      <t xml:space="preserve"> and the timedifference </t>
    </r>
    <r>
      <rPr>
        <i/>
        <sz val="10"/>
        <rFont val="Arial"/>
        <family val="2"/>
      </rPr>
      <t>∆t</t>
    </r>
    <r>
      <rPr>
        <sz val="10"/>
        <rFont val="Arial"/>
        <family val="2"/>
      </rPr>
      <t xml:space="preserve"> between this points in the range before CS.</t>
    </r>
  </si>
  <si>
    <t>Calculate R and L with these formulars or use the automatic calculation of this sheet:</t>
  </si>
  <si>
    <t>Resistance and Inductance</t>
  </si>
  <si>
    <t>Voltage peak Û:</t>
  </si>
  <si>
    <t>kV</t>
  </si>
  <si>
    <t>Current peak Î:</t>
  </si>
  <si>
    <t>kA</t>
  </si>
  <si>
    <t>timedelay ∆t:</t>
  </si>
  <si>
    <t>ms</t>
  </si>
  <si>
    <t>Resistance R:</t>
  </si>
  <si>
    <r>
      <t>m</t>
    </r>
    <r>
      <rPr>
        <sz val="10"/>
        <rFont val="Calibri"/>
        <family val="2"/>
      </rPr>
      <t>Ω</t>
    </r>
  </si>
  <si>
    <t>Inductance L:</t>
  </si>
  <si>
    <r>
      <rPr>
        <sz val="10"/>
        <rFont val="Calibri"/>
        <family val="2"/>
      </rPr>
      <t>µ</t>
    </r>
    <r>
      <rPr>
        <sz val="8.8000000000000007"/>
        <rFont val="Arial"/>
        <family val="2"/>
      </rPr>
      <t>H</t>
    </r>
  </si>
  <si>
    <t>Lists</t>
  </si>
  <si>
    <t>linear</t>
  </si>
  <si>
    <t>gear-Polynomial</t>
  </si>
  <si>
    <t>Mech</t>
  </si>
  <si>
    <t>Remove</t>
  </si>
  <si>
    <t>frequency f:</t>
  </si>
  <si>
    <t>Hz</t>
  </si>
  <si>
    <t>Export Test Verson 2.1.1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</si>
</sst>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10"/>
      <name val="Calibri"/>
      <family val="2"/>
    </font>
    <font>
      <sz val="8.8000000000000007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76">
    <xf numFmtId="0" fontId="0" fillId="0" borderId="0" xfId="0"/>
    <xf numFmtId="0" fontId="2" fillId="0" borderId="0" xfId="1"/>
    <xf numFmtId="0" fontId="3" fillId="0" borderId="1" xfId="1" applyFont="1" applyBorder="1"/>
    <xf numFmtId="0" fontId="2" fillId="0" borderId="1" xfId="1" applyBorder="1"/>
    <xf numFmtId="0" fontId="4" fillId="0" borderId="0" xfId="1" applyFont="1"/>
    <xf numFmtId="0" fontId="4" fillId="0" borderId="0" xfId="1" applyFont="1" applyFill="1" applyBorder="1"/>
    <xf numFmtId="0" fontId="2" fillId="0" borderId="0" xfId="1" applyFont="1"/>
    <xf numFmtId="0" fontId="2" fillId="0" borderId="0" xfId="1" applyFill="1" applyBorder="1"/>
    <xf numFmtId="0" fontId="2" fillId="0" borderId="0" xfId="1" applyBorder="1"/>
    <xf numFmtId="0" fontId="2" fillId="0" borderId="1" xfId="1" applyFill="1" applyBorder="1" applyAlignment="1"/>
    <xf numFmtId="0" fontId="2" fillId="2" borderId="2" xfId="1" applyFill="1" applyBorder="1"/>
    <xf numFmtId="0" fontId="2" fillId="0" borderId="3" xfId="1" applyBorder="1" applyAlignment="1">
      <alignment horizontal="center"/>
    </xf>
    <xf numFmtId="0" fontId="2" fillId="0" borderId="4" xfId="1" applyBorder="1" applyAlignment="1">
      <alignment horizontal="center"/>
    </xf>
    <xf numFmtId="0" fontId="2" fillId="0" borderId="5" xfId="1" applyBorder="1" applyAlignment="1">
      <alignment horizontal="center"/>
    </xf>
    <xf numFmtId="0" fontId="2" fillId="0" borderId="3" xfId="1" applyFont="1" applyBorder="1"/>
    <xf numFmtId="0" fontId="2" fillId="0" borderId="4" xfId="1" applyBorder="1"/>
    <xf numFmtId="11" fontId="2" fillId="0" borderId="6" xfId="1" applyNumberFormat="1" applyBorder="1" applyAlignment="1">
      <alignment horizontal="right"/>
    </xf>
    <xf numFmtId="0" fontId="2" fillId="3" borderId="2" xfId="1" applyFill="1" applyBorder="1"/>
    <xf numFmtId="0" fontId="2" fillId="4" borderId="7" xfId="1" applyFill="1" applyBorder="1"/>
    <xf numFmtId="0" fontId="2" fillId="4" borderId="7" xfId="1" applyNumberFormat="1" applyFill="1" applyBorder="1" applyAlignment="1"/>
    <xf numFmtId="11" fontId="2" fillId="4" borderId="8" xfId="1" applyNumberFormat="1" applyFill="1" applyBorder="1" applyAlignment="1">
      <alignment horizontal="right"/>
    </xf>
    <xf numFmtId="0" fontId="2" fillId="5" borderId="7" xfId="1" applyFill="1" applyBorder="1" applyAlignment="1">
      <alignment horizontal="center"/>
    </xf>
    <xf numFmtId="0" fontId="2" fillId="5" borderId="2" xfId="1" applyFont="1" applyFill="1" applyBorder="1" applyAlignment="1">
      <alignment horizontal="center"/>
    </xf>
    <xf numFmtId="0" fontId="2" fillId="4" borderId="7" xfId="1" applyFill="1" applyBorder="1" applyAlignment="1">
      <alignment horizontal="center"/>
    </xf>
    <xf numFmtId="0" fontId="2" fillId="4" borderId="7" xfId="1" applyFont="1" applyFill="1" applyBorder="1"/>
    <xf numFmtId="11" fontId="2" fillId="3" borderId="8" xfId="1" applyNumberFormat="1" applyFill="1" applyBorder="1" applyAlignment="1">
      <alignment horizontal="right"/>
    </xf>
    <xf numFmtId="0" fontId="2" fillId="3" borderId="7" xfId="1" applyFill="1" applyBorder="1" applyAlignment="1">
      <alignment horizontal="center"/>
    </xf>
    <xf numFmtId="0" fontId="2" fillId="3" borderId="2" xfId="1" applyFont="1" applyFill="1" applyBorder="1"/>
    <xf numFmtId="0" fontId="2" fillId="5" borderId="2" xfId="1" applyFill="1" applyBorder="1" applyAlignment="1">
      <alignment horizontal="center"/>
    </xf>
    <xf numFmtId="0" fontId="2" fillId="3" borderId="7" xfId="1" applyFill="1" applyBorder="1"/>
    <xf numFmtId="0" fontId="2" fillId="2" borderId="2" xfId="1" applyFont="1" applyFill="1" applyBorder="1"/>
    <xf numFmtId="0" fontId="2" fillId="3" borderId="9" xfId="1" applyFont="1" applyFill="1" applyBorder="1"/>
    <xf numFmtId="0" fontId="2" fillId="5" borderId="9" xfId="1" applyFont="1" applyFill="1" applyBorder="1" applyAlignment="1">
      <alignment horizontal="left"/>
    </xf>
    <xf numFmtId="0" fontId="2" fillId="5" borderId="9" xfId="1" applyNumberFormat="1" applyFill="1" applyBorder="1" applyAlignment="1">
      <alignment horizontal="right"/>
    </xf>
    <xf numFmtId="0" fontId="2" fillId="5" borderId="9" xfId="1" applyNumberFormat="1" applyFont="1" applyFill="1" applyBorder="1" applyAlignment="1">
      <alignment horizontal="right"/>
    </xf>
    <xf numFmtId="11" fontId="2" fillId="3" borderId="10" xfId="1" applyNumberFormat="1" applyFill="1" applyBorder="1" applyAlignment="1">
      <alignment horizontal="right"/>
    </xf>
    <xf numFmtId="0" fontId="2" fillId="5" borderId="9" xfId="1" applyFill="1" applyBorder="1" applyAlignment="1">
      <alignment horizontal="center"/>
    </xf>
    <xf numFmtId="0" fontId="2" fillId="5" borderId="11" xfId="1" applyFont="1" applyFill="1" applyBorder="1" applyAlignment="1">
      <alignment horizontal="center"/>
    </xf>
    <xf numFmtId="0" fontId="2" fillId="5" borderId="9" xfId="1" applyFill="1" applyBorder="1"/>
    <xf numFmtId="0" fontId="2" fillId="0" borderId="2" xfId="1" applyBorder="1"/>
    <xf numFmtId="0" fontId="2" fillId="6" borderId="7" xfId="1" applyFont="1" applyFill="1" applyBorder="1" applyAlignment="1">
      <alignment horizontal="left"/>
    </xf>
    <xf numFmtId="0" fontId="2" fillId="6" borderId="7" xfId="1" applyNumberFormat="1" applyFill="1" applyBorder="1" applyAlignment="1">
      <alignment horizontal="right"/>
    </xf>
    <xf numFmtId="0" fontId="2" fillId="6" borderId="7" xfId="1" applyNumberFormat="1" applyFont="1" applyFill="1" applyBorder="1" applyAlignment="1">
      <alignment horizontal="right"/>
    </xf>
    <xf numFmtId="11" fontId="2" fillId="6" borderId="8" xfId="1" applyNumberFormat="1" applyFill="1" applyBorder="1" applyAlignment="1">
      <alignment horizontal="right"/>
    </xf>
    <xf numFmtId="0" fontId="2" fillId="3" borderId="2" xfId="1" applyFill="1" applyBorder="1" applyAlignment="1">
      <alignment horizontal="center"/>
    </xf>
    <xf numFmtId="0" fontId="2" fillId="6" borderId="7" xfId="1" applyFill="1" applyBorder="1" applyAlignment="1">
      <alignment horizontal="center"/>
    </xf>
    <xf numFmtId="0" fontId="2" fillId="6" borderId="7" xfId="1" applyFill="1" applyBorder="1"/>
    <xf numFmtId="0" fontId="2" fillId="0" borderId="0" xfId="1" applyFill="1" applyBorder="1" applyAlignment="1">
      <alignment horizontal="left"/>
    </xf>
    <xf numFmtId="0" fontId="2" fillId="6" borderId="7" xfId="1" applyNumberFormat="1" applyFill="1" applyBorder="1" applyAlignment="1"/>
    <xf numFmtId="0" fontId="2" fillId="6" borderId="7" xfId="1" applyNumberFormat="1" applyFont="1" applyFill="1" applyBorder="1" applyAlignment="1"/>
    <xf numFmtId="0" fontId="2" fillId="6" borderId="7" xfId="1" applyFont="1" applyFill="1" applyBorder="1"/>
    <xf numFmtId="0" fontId="2" fillId="6" borderId="9" xfId="1" applyFill="1" applyBorder="1"/>
    <xf numFmtId="0" fontId="2" fillId="6" borderId="9" xfId="1" applyNumberFormat="1" applyFill="1" applyBorder="1" applyAlignment="1"/>
    <xf numFmtId="11" fontId="2" fillId="6" borderId="10" xfId="1" applyNumberFormat="1" applyFill="1" applyBorder="1" applyAlignment="1">
      <alignment horizontal="right"/>
    </xf>
    <xf numFmtId="0" fontId="2" fillId="3" borderId="9" xfId="1" applyFill="1" applyBorder="1" applyAlignment="1">
      <alignment horizontal="center"/>
    </xf>
    <xf numFmtId="0" fontId="2" fillId="3" borderId="11" xfId="1" applyFill="1" applyBorder="1" applyAlignment="1">
      <alignment horizontal="center"/>
    </xf>
    <xf numFmtId="0" fontId="2" fillId="6" borderId="9" xfId="1" applyFill="1" applyBorder="1" applyAlignment="1">
      <alignment horizontal="center"/>
    </xf>
    <xf numFmtId="0" fontId="2" fillId="5" borderId="6" xfId="1" applyFont="1" applyFill="1" applyBorder="1"/>
    <xf numFmtId="0" fontId="2" fillId="3" borderId="4" xfId="1" applyFill="1" applyBorder="1"/>
    <xf numFmtId="0" fontId="2" fillId="5" borderId="3" xfId="1" applyFont="1" applyFill="1" applyBorder="1"/>
    <xf numFmtId="0" fontId="2" fillId="5" borderId="8" xfId="1" quotePrefix="1" applyFont="1" applyFill="1" applyBorder="1"/>
    <xf numFmtId="0" fontId="2" fillId="5" borderId="2" xfId="1" applyFont="1" applyFill="1" applyBorder="1"/>
    <xf numFmtId="0" fontId="2" fillId="5" borderId="9" xfId="1" applyFont="1" applyFill="1" applyBorder="1"/>
    <xf numFmtId="0" fontId="2" fillId="3" borderId="9" xfId="1" applyFill="1" applyBorder="1"/>
    <xf numFmtId="0" fontId="2" fillId="5" borderId="11" xfId="1" applyFont="1" applyFill="1" applyBorder="1"/>
    <xf numFmtId="0" fontId="2" fillId="5" borderId="8" xfId="1" applyFont="1" applyFill="1" applyBorder="1"/>
    <xf numFmtId="0" fontId="2" fillId="5" borderId="7" xfId="1" applyNumberFormat="1" applyFill="1" applyBorder="1" applyProtection="1"/>
    <xf numFmtId="0" fontId="2" fillId="5" borderId="10" xfId="1" applyFont="1" applyFill="1" applyBorder="1"/>
    <xf numFmtId="0" fontId="2" fillId="5" borderId="9" xfId="1" applyNumberFormat="1" applyFill="1" applyBorder="1" applyProtection="1"/>
    <xf numFmtId="0" fontId="2" fillId="7" borderId="0" xfId="1" applyFill="1" applyBorder="1"/>
    <xf numFmtId="0" fontId="2" fillId="0" borderId="0" xfId="1" applyAlignment="1">
      <alignment horizontal="center"/>
    </xf>
    <xf numFmtId="0" fontId="1" fillId="0" borderId="0" xfId="2"/>
    <xf numFmtId="0" fontId="2" fillId="0" borderId="0" xfId="1" quotePrefix="1" applyAlignment="1">
      <alignment horizontal="center"/>
    </xf>
    <xf numFmtId="0" fontId="4" fillId="0" borderId="0" xfId="1" applyFont="1" applyFill="1" applyBorder="1" applyAlignment="1">
      <alignment horizontal="left"/>
    </xf>
    <xf numFmtId="0" fontId="2" fillId="0" borderId="0" xfId="1" applyFont="1" applyFill="1" applyBorder="1" applyAlignment="1">
      <alignment horizontal="left"/>
    </xf>
    <xf numFmtId="11" fontId="4" fillId="0" borderId="0" xfId="1" applyNumberFormat="1" applyFont="1" applyFill="1" applyBorder="1" applyAlignment="1">
      <alignment horizontal="left"/>
    </xf>
  </cellXfs>
  <cellStyles count="3">
    <cellStyle name="Normal" xfId="0" builtinId="0"/>
    <cellStyle name="Normal 2 2" xfId="1"/>
    <cellStyle name="Normal 3 5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165172</xdr:colOff>
      <xdr:row>31</xdr:row>
      <xdr:rowOff>89405</xdr:rowOff>
    </xdr:from>
    <xdr:ext cx="4164374" cy="4819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11109397" y="5175755"/>
              <a:ext cx="4164374" cy="4819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de-CH" sz="1100" b="0" i="1">
                        <a:latin typeface="Cambria Math"/>
                      </a:rPr>
                      <m:t>𝑅</m:t>
                    </m:r>
                    <m:r>
                      <a:rPr lang="de-CH" sz="11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de-CH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de-CH" sz="1100" b="0" i="1">
                            <a:latin typeface="Cambria Math"/>
                          </a:rPr>
                          <m:t>Û</m:t>
                        </m:r>
                      </m:num>
                      <m:den>
                        <m:r>
                          <a:rPr lang="de-CH" sz="1100" b="0" i="1">
                            <a:latin typeface="Cambria Math"/>
                          </a:rPr>
                          <m:t>Î</m:t>
                        </m:r>
                      </m:den>
                    </m:f>
                    <m:r>
                      <a:rPr lang="de-CH" sz="1100" b="0" i="1">
                        <a:latin typeface="Cambria Math"/>
                      </a:rPr>
                      <m:t>∗</m:t>
                    </m:r>
                    <m:func>
                      <m:funcPr>
                        <m:ctrlPr>
                          <a:rPr lang="de-CH" sz="1100" b="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de-CH" sz="1100" b="0" i="0">
                            <a:latin typeface="Cambria Math"/>
                          </a:rPr>
                          <m:t>cos</m:t>
                        </m:r>
                      </m:fName>
                      <m:e>
                        <m:d>
                          <m:dPr>
                            <m:ctrlPr>
                              <a:rPr lang="de-CH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de-CH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de-CH" sz="1100" b="0" i="1">
                                    <a:latin typeface="Cambria Math"/>
                                    <a:ea typeface="Cambria Math"/>
                                  </a:rPr>
                                  <m:t>∆</m:t>
                                </m:r>
                                <m:r>
                                  <a:rPr lang="de-CH" sz="1100" b="0" i="1">
                                    <a:latin typeface="Cambria Math"/>
                                    <a:ea typeface="Cambria Math"/>
                                  </a:rPr>
                                  <m:t>𝑡</m:t>
                                </m:r>
                              </m:num>
                              <m:den>
                                <m:r>
                                  <a:rPr lang="de-CH" sz="1100" b="0" i="1">
                                    <a:latin typeface="Cambria Math"/>
                                  </a:rPr>
                                  <m:t>𝑇</m:t>
                                </m:r>
                              </m:den>
                            </m:f>
                            <m:r>
                              <a:rPr lang="de-CH" sz="1100" b="0" i="1">
                                <a:latin typeface="Cambria Math"/>
                              </a:rPr>
                              <m:t>∗360°</m:t>
                            </m:r>
                          </m:e>
                        </m:d>
                      </m:e>
                    </m:func>
                  </m:oMath>
                </m:oMathPara>
              </a14:m>
              <a:endParaRPr lang="de-CH" sz="1100" b="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11109397" y="5175755"/>
              <a:ext cx="4164374" cy="4819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de-CH" sz="1100" b="0" i="0">
                  <a:latin typeface="Cambria Math"/>
                </a:rPr>
                <a:t>𝑅=Û/Î∗cos⁡(</a:t>
              </a:r>
              <a:r>
                <a:rPr lang="de-CH" sz="1100" b="0" i="0">
                  <a:latin typeface="Cambria Math"/>
                  <a:ea typeface="Cambria Math"/>
                </a:rPr>
                <a:t>∆𝑡/</a:t>
              </a:r>
              <a:r>
                <a:rPr lang="de-CH" sz="1100" b="0" i="0">
                  <a:latin typeface="Cambria Math"/>
                </a:rPr>
                <a:t>𝑇∗360°)</a:t>
              </a:r>
              <a:endParaRPr lang="de-CH" sz="1100" b="0"/>
            </a:p>
          </xdr:txBody>
        </xdr:sp>
      </mc:Fallback>
    </mc:AlternateContent>
    <xdr:clientData/>
  </xdr:oneCellAnchor>
  <xdr:oneCellAnchor>
    <xdr:from>
      <xdr:col>11</xdr:col>
      <xdr:colOff>173182</xdr:colOff>
      <xdr:row>34</xdr:row>
      <xdr:rowOff>54119</xdr:rowOff>
    </xdr:from>
    <xdr:ext cx="4164374" cy="4819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11117407" y="5626244"/>
              <a:ext cx="4164374" cy="4819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de-CH" sz="1100" b="0" i="1">
                        <a:latin typeface="Cambria Math"/>
                      </a:rPr>
                      <m:t>𝐿</m:t>
                    </m:r>
                    <m:r>
                      <a:rPr lang="de-CH" sz="11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de-CH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de-CH" sz="1100" b="0" i="1">
                            <a:latin typeface="Cambria Math"/>
                          </a:rPr>
                          <m:t>Û</m:t>
                        </m:r>
                      </m:num>
                      <m:den>
                        <m:r>
                          <a:rPr lang="de-CH" sz="1100" b="0" i="1">
                            <a:latin typeface="Cambria Math"/>
                          </a:rPr>
                          <m:t>2∗</m:t>
                        </m:r>
                        <m:r>
                          <a:rPr lang="de-CH" sz="1100" b="0" i="1">
                            <a:latin typeface="Cambria Math"/>
                            <a:ea typeface="Cambria Math"/>
                          </a:rPr>
                          <m:t>𝜋</m:t>
                        </m:r>
                        <m:r>
                          <a:rPr lang="de-CH" sz="1100" b="0" i="1">
                            <a:latin typeface="Cambria Math"/>
                            <a:ea typeface="Cambria Math"/>
                          </a:rPr>
                          <m:t>∗</m:t>
                        </m:r>
                        <m:r>
                          <a:rPr lang="de-CH" sz="1100" b="0" i="1">
                            <a:latin typeface="Cambria Math"/>
                            <a:ea typeface="Cambria Math"/>
                          </a:rPr>
                          <m:t>𝑓</m:t>
                        </m:r>
                        <m:r>
                          <a:rPr lang="de-CH" sz="1100" b="0" i="1">
                            <a:latin typeface="Cambria Math"/>
                            <a:ea typeface="Cambria Math"/>
                          </a:rPr>
                          <m:t>∗Î</m:t>
                        </m:r>
                      </m:den>
                    </m:f>
                    <m:r>
                      <a:rPr lang="de-CH" sz="1100" b="0" i="1">
                        <a:latin typeface="Cambria Math"/>
                      </a:rPr>
                      <m:t>∗</m:t>
                    </m:r>
                    <m:func>
                      <m:funcPr>
                        <m:ctrlPr>
                          <a:rPr lang="de-CH" sz="1100" b="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func>
                          <m:funcPr>
                            <m:ctrlPr>
                              <a:rPr lang="de-CH" sz="1100" b="0" i="1"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de-CH" sz="1100" b="0" i="0">
                                <a:latin typeface="Cambria Math"/>
                              </a:rPr>
                              <m:t>sin</m:t>
                            </m:r>
                          </m:fName>
                          <m:e>
                            <m:d>
                              <m:dPr>
                                <m:ctrlPr>
                                  <a:rPr lang="de-CH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de-CH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de-CH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∆</m:t>
                                    </m:r>
                                    <m:r>
                                      <a:rPr lang="de-CH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𝑡</m:t>
                                    </m:r>
                                  </m:num>
                                  <m:den>
                                    <m:r>
                                      <a:rPr lang="de-CH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den>
                                </m:f>
                                <m:r>
                                  <a:rPr lang="de-CH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∗360°</m:t>
                                </m:r>
                              </m:e>
                            </m:d>
                          </m:e>
                        </m:func>
                      </m:fName>
                      <m:e>
                        <m:r>
                          <a:rPr lang="de-CH" sz="1100" b="0" i="1">
                            <a:latin typeface="Cambria Math"/>
                          </a:rPr>
                          <m:t> </m:t>
                        </m:r>
                      </m:e>
                    </m:func>
                  </m:oMath>
                </m:oMathPara>
              </a14:m>
              <a:endParaRPr lang="de-CH" sz="1100" b="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11117407" y="5626244"/>
              <a:ext cx="4164374" cy="4819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de-CH" sz="1100" b="0" i="0">
                  <a:latin typeface="Cambria Math"/>
                </a:rPr>
                <a:t>𝐿=Û/(2∗</a:t>
              </a:r>
              <a:r>
                <a:rPr lang="de-CH" sz="1100" b="0" i="0">
                  <a:latin typeface="Cambria Math"/>
                  <a:ea typeface="Cambria Math"/>
                </a:rPr>
                <a:t>𝜋∗𝑓∗Î)</a:t>
              </a:r>
              <a:r>
                <a:rPr lang="de-CH" sz="1100" b="0" i="0">
                  <a:latin typeface="Cambria Math"/>
                </a:rPr>
                <a:t>∗sin⁡</a:t>
              </a:r>
              <a:r>
                <a:rPr lang="de-CH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(∆𝑡/𝑇∗360°)⁡</a:t>
              </a:r>
              <a:r>
                <a:rPr lang="de-CH" sz="1100" b="0" i="0">
                  <a:latin typeface="Cambria Math"/>
                </a:rPr>
                <a:t> </a:t>
              </a:r>
              <a:endParaRPr lang="de-CH" sz="1100" b="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45</xdr:row>
          <xdr:rowOff>66675</xdr:rowOff>
        </xdr:from>
        <xdr:to>
          <xdr:col>2</xdr:col>
          <xdr:colOff>1114425</xdr:colOff>
          <xdr:row>47</xdr:row>
          <xdr:rowOff>38100</xdr:rowOff>
        </xdr:to>
        <xdr:sp macro="" textlink="">
          <xdr:nvSpPr>
            <xdr:cNvPr id="1040" name="btnExport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65"/>
  <sheetViews>
    <sheetView showGridLines="0" tabSelected="1" workbookViewId="0">
      <selection activeCell="G19" sqref="G19"/>
    </sheetView>
  </sheetViews>
  <sheetFormatPr defaultRowHeight="12.75" x14ac:dyDescent="0.2"/>
  <cols>
    <col min="1" max="1" width="13" style="1" customWidth="1"/>
    <col min="2" max="2" width="15.28515625" style="1" customWidth="1"/>
    <col min="3" max="3" width="22.7109375" style="1" customWidth="1"/>
    <col min="4" max="4" width="9.42578125" style="1" bestFit="1" customWidth="1"/>
    <col min="5" max="5" width="10.5703125" style="1" customWidth="1"/>
    <col min="6" max="6" width="10.7109375" style="1" bestFit="1" customWidth="1"/>
    <col min="7" max="7" width="20.42578125" style="1" bestFit="1" customWidth="1"/>
    <col min="8" max="8" width="14.5703125" style="1" bestFit="1" customWidth="1"/>
    <col min="9" max="9" width="6.7109375" style="1" customWidth="1"/>
    <col min="10" max="10" width="19.28515625" style="1" customWidth="1"/>
    <col min="11" max="11" width="21.42578125" style="1" customWidth="1"/>
    <col min="12" max="12" width="10.7109375" style="1" customWidth="1"/>
    <col min="13" max="13" width="10.28515625" style="1" bestFit="1" customWidth="1"/>
    <col min="14" max="14" width="6.42578125" style="1" bestFit="1" customWidth="1"/>
    <col min="15" max="15" width="13.5703125" style="1" customWidth="1"/>
    <col min="16" max="16" width="17.140625" style="1" customWidth="1"/>
    <col min="17" max="18" width="16.140625" style="1" customWidth="1"/>
    <col min="19" max="19" width="10.42578125" style="1" bestFit="1" customWidth="1"/>
    <col min="20" max="24" width="11.42578125" style="1" customWidth="1"/>
    <col min="25" max="29" width="9.140625" style="1"/>
    <col min="30" max="30" width="16.5703125" style="1" bestFit="1" customWidth="1"/>
    <col min="31" max="31" width="29.42578125" style="1" bestFit="1" customWidth="1"/>
    <col min="32" max="16384" width="9.140625" style="1"/>
  </cols>
  <sheetData>
    <row r="1" spans="1:31" x14ac:dyDescent="0.2">
      <c r="AB1" s="70"/>
      <c r="AC1" s="70"/>
    </row>
    <row r="2" spans="1:31" ht="18" x14ac:dyDescent="0.25">
      <c r="A2" s="2" t="s">
        <v>74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AB2" s="70"/>
      <c r="AC2" s="70"/>
      <c r="AE2" s="70"/>
    </row>
    <row r="3" spans="1:31" x14ac:dyDescent="0.2">
      <c r="AB3" s="70"/>
      <c r="AC3" s="70"/>
      <c r="AE3" s="70"/>
    </row>
    <row r="4" spans="1:31" x14ac:dyDescent="0.2">
      <c r="B4" s="4" t="s">
        <v>0</v>
      </c>
      <c r="L4" s="5" t="s">
        <v>1</v>
      </c>
      <c r="AB4" s="70"/>
      <c r="AC4" s="70"/>
      <c r="AE4" s="70"/>
    </row>
    <row r="5" spans="1:31" x14ac:dyDescent="0.2">
      <c r="B5" s="6" t="s">
        <v>2</v>
      </c>
      <c r="L5" s="6" t="s">
        <v>3</v>
      </c>
      <c r="Q5" s="7"/>
      <c r="AB5" s="70"/>
      <c r="AC5" s="70"/>
      <c r="AE5" s="70"/>
    </row>
    <row r="6" spans="1:31" x14ac:dyDescent="0.2">
      <c r="B6" s="1" t="s">
        <v>4</v>
      </c>
      <c r="AB6" s="70"/>
      <c r="AC6" s="70"/>
      <c r="AE6" s="70"/>
    </row>
    <row r="7" spans="1:31" x14ac:dyDescent="0.2">
      <c r="B7" s="1" t="s">
        <v>5</v>
      </c>
      <c r="L7" s="1" t="s">
        <v>6</v>
      </c>
      <c r="AB7" s="70"/>
      <c r="AC7" s="70"/>
      <c r="AE7" s="70"/>
    </row>
    <row r="8" spans="1:31" ht="12.75" customHeight="1" x14ac:dyDescent="0.2">
      <c r="B8" s="1" t="s">
        <v>7</v>
      </c>
      <c r="M8" s="1" t="s">
        <v>8</v>
      </c>
      <c r="AC8" s="70"/>
      <c r="AE8" s="70"/>
    </row>
    <row r="9" spans="1:31" x14ac:dyDescent="0.2">
      <c r="B9" s="1" t="s">
        <v>9</v>
      </c>
      <c r="AC9" s="70"/>
      <c r="AE9" s="70"/>
    </row>
    <row r="10" spans="1:31" x14ac:dyDescent="0.2">
      <c r="B10" s="1" t="s">
        <v>10</v>
      </c>
      <c r="L10" s="1" t="s">
        <v>11</v>
      </c>
      <c r="AC10" s="70"/>
      <c r="AE10" s="70"/>
    </row>
    <row r="11" spans="1:31" x14ac:dyDescent="0.2">
      <c r="C11" s="1" t="s">
        <v>12</v>
      </c>
      <c r="M11" s="1" t="s">
        <v>13</v>
      </c>
      <c r="AC11" s="70"/>
      <c r="AE11" s="70"/>
    </row>
    <row r="12" spans="1:31" x14ac:dyDescent="0.2">
      <c r="M12" s="1" t="s">
        <v>14</v>
      </c>
      <c r="AC12" s="70"/>
      <c r="AE12" s="70"/>
    </row>
    <row r="13" spans="1:31" x14ac:dyDescent="0.2">
      <c r="M13" s="1" t="s">
        <v>15</v>
      </c>
      <c r="Z13" s="73"/>
      <c r="AC13" s="70"/>
    </row>
    <row r="14" spans="1:31" x14ac:dyDescent="0.2">
      <c r="B14" s="5" t="s">
        <v>16</v>
      </c>
      <c r="C14" s="8"/>
      <c r="D14" s="7"/>
      <c r="E14" s="7"/>
      <c r="F14" s="7"/>
      <c r="G14" s="7"/>
      <c r="H14" s="9"/>
      <c r="I14" s="9"/>
      <c r="M14" s="1" t="s">
        <v>17</v>
      </c>
      <c r="Z14" s="73"/>
      <c r="AC14" s="70"/>
    </row>
    <row r="15" spans="1:31" x14ac:dyDescent="0.2">
      <c r="A15" s="10"/>
      <c r="B15" s="11" t="s">
        <v>18</v>
      </c>
      <c r="C15" s="12" t="s">
        <v>19</v>
      </c>
      <c r="D15" s="12" t="s">
        <v>20</v>
      </c>
      <c r="E15" s="12" t="s">
        <v>21</v>
      </c>
      <c r="F15" s="12" t="s">
        <v>22</v>
      </c>
      <c r="G15" s="12" t="s">
        <v>23</v>
      </c>
      <c r="H15" s="13" t="s">
        <v>24</v>
      </c>
      <c r="I15" s="12" t="s">
        <v>25</v>
      </c>
      <c r="J15" s="12" t="s">
        <v>26</v>
      </c>
      <c r="M15" s="1" t="s">
        <v>27</v>
      </c>
      <c r="Z15" s="7"/>
      <c r="AC15" s="70"/>
    </row>
    <row r="16" spans="1:31" x14ac:dyDescent="0.2">
      <c r="A16" s="10"/>
      <c r="B16" s="14" t="s">
        <v>28</v>
      </c>
      <c r="C16" s="15" t="s">
        <v>29</v>
      </c>
      <c r="D16" s="15">
        <v>1</v>
      </c>
      <c r="E16" s="15">
        <v>1</v>
      </c>
      <c r="F16" s="16"/>
      <c r="G16" s="15"/>
      <c r="I16" s="15"/>
      <c r="J16" s="15"/>
      <c r="M16" s="1" t="s">
        <v>30</v>
      </c>
      <c r="Z16" s="7"/>
      <c r="AA16" s="7"/>
      <c r="AC16" s="70"/>
    </row>
    <row r="17" spans="1:30" x14ac:dyDescent="0.2">
      <c r="A17" s="10"/>
      <c r="B17" s="17"/>
      <c r="C17" s="18" t="s">
        <v>31</v>
      </c>
      <c r="D17" s="19">
        <v>2</v>
      </c>
      <c r="E17" s="19">
        <v>1000</v>
      </c>
      <c r="F17" s="20"/>
      <c r="G17" s="21"/>
      <c r="H17" s="22" t="s">
        <v>32</v>
      </c>
      <c r="I17" s="23">
        <v>-1</v>
      </c>
      <c r="J17" s="18"/>
      <c r="Z17" s="7"/>
      <c r="AA17" s="7"/>
      <c r="AC17" s="70"/>
    </row>
    <row r="18" spans="1:30" x14ac:dyDescent="0.2">
      <c r="A18" s="10"/>
      <c r="B18" s="17"/>
      <c r="C18" s="24" t="s">
        <v>33</v>
      </c>
      <c r="D18" s="19">
        <v>3</v>
      </c>
      <c r="E18" s="19">
        <v>1E-3</v>
      </c>
      <c r="F18" s="25" t="s">
        <v>34</v>
      </c>
      <c r="G18" s="26" t="s">
        <v>35</v>
      </c>
      <c r="H18" s="22" t="s">
        <v>36</v>
      </c>
      <c r="I18" s="23">
        <v>0</v>
      </c>
      <c r="J18" s="18"/>
      <c r="L18" s="1" t="s">
        <v>37</v>
      </c>
      <c r="Z18" s="7"/>
      <c r="AA18" s="7"/>
      <c r="AC18" s="70"/>
    </row>
    <row r="19" spans="1:30" x14ac:dyDescent="0.2">
      <c r="A19" s="10"/>
      <c r="B19" s="27"/>
      <c r="C19" s="24" t="s">
        <v>38</v>
      </c>
      <c r="D19" s="19">
        <v>4</v>
      </c>
      <c r="E19" s="19">
        <v>100000</v>
      </c>
      <c r="F19" s="25">
        <v>600000</v>
      </c>
      <c r="G19" s="21"/>
      <c r="H19" s="28" t="s">
        <v>36</v>
      </c>
      <c r="I19" s="23">
        <v>1</v>
      </c>
      <c r="J19" s="18"/>
      <c r="M19" s="1" t="s">
        <v>39</v>
      </c>
      <c r="N19" s="1" t="s">
        <v>40</v>
      </c>
      <c r="AC19" s="70"/>
    </row>
    <row r="20" spans="1:30" x14ac:dyDescent="0.2">
      <c r="A20" s="10"/>
      <c r="B20" s="17"/>
      <c r="C20" s="18" t="s">
        <v>41</v>
      </c>
      <c r="D20" s="19">
        <v>5</v>
      </c>
      <c r="E20" s="19">
        <v>1000</v>
      </c>
      <c r="F20" s="20"/>
      <c r="G20" s="21"/>
      <c r="H20" s="22" t="s">
        <v>32</v>
      </c>
      <c r="I20" s="23">
        <v>-2</v>
      </c>
      <c r="J20" s="46" t="s">
        <v>71</v>
      </c>
      <c r="M20" s="1" t="s">
        <v>42</v>
      </c>
      <c r="N20" s="1" t="s">
        <v>43</v>
      </c>
      <c r="AC20" s="70"/>
    </row>
    <row r="21" spans="1:30" x14ac:dyDescent="0.2">
      <c r="A21" s="10"/>
      <c r="B21" s="29"/>
      <c r="C21" s="24" t="s">
        <v>44</v>
      </c>
      <c r="D21" s="19">
        <v>6</v>
      </c>
      <c r="E21" s="19">
        <v>1000</v>
      </c>
      <c r="F21" s="20"/>
      <c r="G21" s="21"/>
      <c r="H21" s="22" t="s">
        <v>32</v>
      </c>
      <c r="I21" s="23">
        <v>-3</v>
      </c>
      <c r="J21" s="18"/>
      <c r="M21" s="1" t="s">
        <v>45</v>
      </c>
      <c r="N21" s="1" t="s">
        <v>46</v>
      </c>
      <c r="Z21" s="7"/>
      <c r="AA21" s="74"/>
      <c r="AB21" s="74"/>
      <c r="AC21" s="70"/>
      <c r="AD21" s="7"/>
    </row>
    <row r="22" spans="1:30" x14ac:dyDescent="0.2">
      <c r="A22" s="30"/>
      <c r="B22" s="31"/>
      <c r="C22" s="32" t="s">
        <v>47</v>
      </c>
      <c r="D22" s="33">
        <v>7</v>
      </c>
      <c r="E22" s="34">
        <v>100000</v>
      </c>
      <c r="F22" s="35">
        <v>600000</v>
      </c>
      <c r="G22" s="36"/>
      <c r="H22" s="37" t="s">
        <v>32</v>
      </c>
      <c r="I22" s="36">
        <v>1</v>
      </c>
      <c r="J22" s="38"/>
      <c r="Z22" s="7"/>
      <c r="AA22" s="74"/>
      <c r="AB22" s="74"/>
      <c r="AC22" s="70"/>
      <c r="AD22" s="7"/>
    </row>
    <row r="23" spans="1:30" x14ac:dyDescent="0.2">
      <c r="A23" s="39"/>
      <c r="B23" s="17"/>
      <c r="C23" s="40"/>
      <c r="D23" s="41"/>
      <c r="E23" s="42"/>
      <c r="F23" s="43"/>
      <c r="G23" s="26"/>
      <c r="H23" s="44"/>
      <c r="I23" s="45"/>
      <c r="J23" s="46"/>
      <c r="L23" s="4" t="s">
        <v>48</v>
      </c>
      <c r="Z23" s="7"/>
      <c r="AA23" s="7"/>
      <c r="AB23" s="7"/>
      <c r="AC23" s="7"/>
      <c r="AD23" s="7"/>
    </row>
    <row r="24" spans="1:30" x14ac:dyDescent="0.2">
      <c r="A24" s="39"/>
      <c r="B24" s="29"/>
      <c r="C24" s="46"/>
      <c r="D24" s="41"/>
      <c r="E24" s="41"/>
      <c r="F24" s="43"/>
      <c r="G24" s="26"/>
      <c r="H24" s="44"/>
      <c r="I24" s="45"/>
      <c r="J24" s="46"/>
      <c r="L24" s="47" t="s">
        <v>49</v>
      </c>
    </row>
    <row r="25" spans="1:30" x14ac:dyDescent="0.2">
      <c r="A25" s="39"/>
      <c r="B25" s="29"/>
      <c r="C25" s="40"/>
      <c r="D25" s="48"/>
      <c r="E25" s="49"/>
      <c r="F25" s="43"/>
      <c r="G25" s="26"/>
      <c r="H25" s="44"/>
      <c r="I25" s="45"/>
      <c r="J25" s="46"/>
      <c r="L25" s="1" t="s">
        <v>50</v>
      </c>
    </row>
    <row r="26" spans="1:30" x14ac:dyDescent="0.2">
      <c r="A26" s="39"/>
      <c r="B26" s="46"/>
      <c r="C26" s="40"/>
      <c r="D26" s="48"/>
      <c r="E26" s="49"/>
      <c r="F26" s="43"/>
      <c r="G26" s="26"/>
      <c r="H26" s="44"/>
      <c r="I26" s="45"/>
      <c r="J26" s="46"/>
      <c r="L26" s="6" t="s">
        <v>51</v>
      </c>
    </row>
    <row r="27" spans="1:30" x14ac:dyDescent="0.2">
      <c r="A27" s="39"/>
      <c r="B27" s="46"/>
      <c r="C27" s="46"/>
      <c r="D27" s="48"/>
      <c r="E27" s="48"/>
      <c r="F27" s="43"/>
      <c r="G27" s="26"/>
      <c r="H27" s="44"/>
      <c r="I27" s="45"/>
      <c r="J27" s="46"/>
      <c r="L27" s="6" t="s">
        <v>52</v>
      </c>
    </row>
    <row r="28" spans="1:30" x14ac:dyDescent="0.2">
      <c r="A28" s="39"/>
      <c r="B28" s="46"/>
      <c r="C28" s="46"/>
      <c r="D28" s="48"/>
      <c r="E28" s="48"/>
      <c r="F28" s="43"/>
      <c r="G28" s="26"/>
      <c r="H28" s="44"/>
      <c r="I28" s="45"/>
      <c r="J28" s="46"/>
    </row>
    <row r="29" spans="1:30" x14ac:dyDescent="0.2">
      <c r="A29" s="39"/>
      <c r="B29" s="46"/>
      <c r="C29" s="46"/>
      <c r="D29" s="48"/>
      <c r="E29" s="48"/>
      <c r="F29" s="43"/>
      <c r="G29" s="26"/>
      <c r="H29" s="44"/>
      <c r="I29" s="45"/>
      <c r="J29" s="46"/>
      <c r="L29" s="4" t="s">
        <v>53</v>
      </c>
    </row>
    <row r="30" spans="1:30" x14ac:dyDescent="0.2">
      <c r="A30" s="39"/>
      <c r="B30" s="50"/>
      <c r="C30" s="40"/>
      <c r="D30" s="41"/>
      <c r="E30" s="42"/>
      <c r="F30" s="43"/>
      <c r="G30" s="26"/>
      <c r="H30" s="44"/>
      <c r="I30" s="45"/>
      <c r="J30" s="46"/>
      <c r="L30" s="6" t="s">
        <v>54</v>
      </c>
    </row>
    <row r="31" spans="1:30" x14ac:dyDescent="0.2">
      <c r="A31" s="39"/>
      <c r="B31" s="46"/>
      <c r="C31" s="40"/>
      <c r="D31" s="41"/>
      <c r="E31" s="42"/>
      <c r="F31" s="43"/>
      <c r="G31" s="26"/>
      <c r="H31" s="44"/>
      <c r="I31" s="45"/>
      <c r="J31" s="46"/>
      <c r="L31" s="6" t="s">
        <v>55</v>
      </c>
    </row>
    <row r="32" spans="1:30" x14ac:dyDescent="0.2">
      <c r="A32" s="39"/>
      <c r="B32" s="46"/>
      <c r="C32" s="46"/>
      <c r="D32" s="41"/>
      <c r="E32" s="41"/>
      <c r="F32" s="43"/>
      <c r="G32" s="26"/>
      <c r="H32" s="44"/>
      <c r="I32" s="45"/>
      <c r="J32" s="46"/>
    </row>
    <row r="33" spans="1:26" x14ac:dyDescent="0.2">
      <c r="A33" s="39"/>
      <c r="B33" s="46"/>
      <c r="C33" s="40"/>
      <c r="D33" s="48"/>
      <c r="E33" s="49"/>
      <c r="F33" s="43"/>
      <c r="G33" s="26"/>
      <c r="H33" s="44"/>
      <c r="I33" s="45"/>
      <c r="J33" s="46"/>
    </row>
    <row r="34" spans="1:26" x14ac:dyDescent="0.2">
      <c r="A34" s="39"/>
      <c r="B34" s="46"/>
      <c r="C34" s="40"/>
      <c r="D34" s="48"/>
      <c r="E34" s="49"/>
      <c r="F34" s="43"/>
      <c r="G34" s="26"/>
      <c r="H34" s="44"/>
      <c r="I34" s="45"/>
      <c r="J34" s="46"/>
    </row>
    <row r="35" spans="1:26" x14ac:dyDescent="0.2">
      <c r="A35" s="39"/>
      <c r="B35" s="51"/>
      <c r="C35" s="51"/>
      <c r="D35" s="52"/>
      <c r="E35" s="52"/>
      <c r="F35" s="53"/>
      <c r="G35" s="54"/>
      <c r="H35" s="55"/>
      <c r="I35" s="56"/>
      <c r="J35" s="51"/>
    </row>
    <row r="37" spans="1:26" x14ac:dyDescent="0.2">
      <c r="Z37" s="75"/>
    </row>
    <row r="38" spans="1:26" x14ac:dyDescent="0.2">
      <c r="B38" s="4" t="s">
        <v>56</v>
      </c>
      <c r="F38" s="4"/>
    </row>
    <row r="39" spans="1:26" x14ac:dyDescent="0.2">
      <c r="B39" s="57" t="s">
        <v>57</v>
      </c>
      <c r="C39" s="58"/>
      <c r="D39" s="59" t="s">
        <v>58</v>
      </c>
    </row>
    <row r="40" spans="1:26" x14ac:dyDescent="0.2">
      <c r="B40" s="60" t="s">
        <v>59</v>
      </c>
      <c r="C40" s="29"/>
      <c r="D40" s="61" t="s">
        <v>60</v>
      </c>
      <c r="U40" s="69"/>
      <c r="V40" s="69"/>
    </row>
    <row r="41" spans="1:26" x14ac:dyDescent="0.2">
      <c r="B41" s="60" t="s">
        <v>61</v>
      </c>
      <c r="C41" s="29"/>
      <c r="D41" s="61" t="s">
        <v>62</v>
      </c>
      <c r="U41" s="69"/>
      <c r="V41" s="69"/>
    </row>
    <row r="42" spans="1:26" x14ac:dyDescent="0.2">
      <c r="B42" s="62" t="s">
        <v>72</v>
      </c>
      <c r="C42" s="63"/>
      <c r="D42" s="64" t="s">
        <v>73</v>
      </c>
      <c r="U42" s="69"/>
      <c r="V42" s="69"/>
    </row>
    <row r="43" spans="1:26" x14ac:dyDescent="0.2">
      <c r="B43" s="65" t="s">
        <v>63</v>
      </c>
      <c r="C43" s="66" t="e">
        <f>ROUND(C39/C40*COS(C41/1000*C42*2*PI())*1000,2)</f>
        <v>#DIV/0!</v>
      </c>
      <c r="D43" s="61" t="s">
        <v>64</v>
      </c>
      <c r="U43" s="69"/>
      <c r="V43" s="69"/>
    </row>
    <row r="44" spans="1:26" x14ac:dyDescent="0.2">
      <c r="B44" s="67" t="s">
        <v>65</v>
      </c>
      <c r="C44" s="68" t="e">
        <f>ROUND(C39/(2*PI()*C42*C40)*SIN(C41/1000*C42*2*PI())*1000000,2)</f>
        <v>#DIV/0!</v>
      </c>
      <c r="D44" s="64" t="s">
        <v>66</v>
      </c>
      <c r="U44" s="69"/>
      <c r="V44" s="69"/>
    </row>
    <row r="45" spans="1:26" x14ac:dyDescent="0.2">
      <c r="R45" s="69"/>
      <c r="S45" s="69"/>
      <c r="T45" s="69"/>
      <c r="U45" s="69"/>
      <c r="V45" s="69"/>
    </row>
    <row r="46" spans="1:26" x14ac:dyDescent="0.2">
      <c r="R46" s="69"/>
      <c r="S46" s="69"/>
      <c r="T46" s="69"/>
      <c r="U46" s="69"/>
      <c r="V46" s="69"/>
    </row>
    <row r="47" spans="1:26" x14ac:dyDescent="0.2">
      <c r="R47" s="69"/>
      <c r="S47" s="69"/>
      <c r="T47" s="69"/>
      <c r="U47" s="69"/>
      <c r="V47" s="69"/>
    </row>
    <row r="48" spans="1:26" x14ac:dyDescent="0.2">
      <c r="R48" s="69"/>
      <c r="S48" s="69"/>
      <c r="T48" s="69"/>
      <c r="U48" s="69"/>
      <c r="V48" s="69"/>
    </row>
    <row r="49" spans="1:22" x14ac:dyDescent="0.2">
      <c r="R49" s="69"/>
      <c r="S49" s="69"/>
      <c r="T49" s="69"/>
      <c r="U49" s="69"/>
      <c r="V49" s="69"/>
    </row>
    <row r="50" spans="1:22" x14ac:dyDescent="0.2">
      <c r="K50" s="70"/>
      <c r="R50" s="69"/>
      <c r="S50" s="69"/>
      <c r="T50" s="69"/>
      <c r="U50" s="69"/>
      <c r="V50" s="69"/>
    </row>
    <row r="51" spans="1:22" ht="15" x14ac:dyDescent="0.25">
      <c r="K51" s="71"/>
      <c r="R51" s="69"/>
      <c r="S51" s="69"/>
      <c r="T51" s="69"/>
      <c r="U51" s="69"/>
      <c r="V51" s="69"/>
    </row>
    <row r="52" spans="1:22" x14ac:dyDescent="0.2">
      <c r="H52" s="69"/>
      <c r="I52" s="69"/>
      <c r="R52" s="69"/>
      <c r="S52" s="69"/>
      <c r="T52" s="69"/>
      <c r="U52" s="69"/>
      <c r="V52" s="69"/>
    </row>
    <row r="53" spans="1:22" x14ac:dyDescent="0.2">
      <c r="B53" s="69"/>
      <c r="C53" s="69"/>
      <c r="D53" s="69"/>
      <c r="E53" s="69"/>
      <c r="F53" s="69"/>
      <c r="G53" s="69"/>
      <c r="H53" s="69"/>
      <c r="I53" s="69"/>
      <c r="R53" s="69"/>
      <c r="S53" s="69"/>
      <c r="T53" s="69"/>
      <c r="U53" s="69"/>
      <c r="V53" s="69"/>
    </row>
    <row r="54" spans="1:22" x14ac:dyDescent="0.2">
      <c r="B54" s="69"/>
      <c r="C54" s="69"/>
      <c r="D54" s="69"/>
      <c r="E54" s="69"/>
      <c r="F54" s="69"/>
      <c r="G54" s="69"/>
      <c r="H54" s="69"/>
      <c r="I54" s="69"/>
      <c r="R54" s="69"/>
      <c r="S54" s="69"/>
      <c r="T54" s="69"/>
      <c r="U54" s="69"/>
      <c r="V54" s="69"/>
    </row>
    <row r="55" spans="1:22" x14ac:dyDescent="0.2">
      <c r="B55" s="69"/>
      <c r="C55" s="69"/>
      <c r="D55" s="69"/>
      <c r="E55" s="69"/>
      <c r="F55" s="69"/>
      <c r="G55" s="69"/>
      <c r="H55" s="69"/>
      <c r="I55" s="69"/>
      <c r="R55" s="69"/>
      <c r="S55" s="69"/>
      <c r="T55" s="69"/>
      <c r="U55" s="69"/>
      <c r="V55" s="69"/>
    </row>
    <row r="56" spans="1:22" x14ac:dyDescent="0.2">
      <c r="B56" s="69"/>
      <c r="C56" s="69"/>
      <c r="D56" s="69"/>
      <c r="E56" s="69"/>
      <c r="F56" s="69"/>
      <c r="G56" s="69"/>
      <c r="H56" s="69"/>
      <c r="I56" s="69"/>
      <c r="R56" s="69"/>
      <c r="S56" s="69"/>
      <c r="T56" s="69"/>
      <c r="U56" s="69"/>
      <c r="V56" s="69"/>
    </row>
    <row r="57" spans="1:22" x14ac:dyDescent="0.2">
      <c r="B57" s="69"/>
      <c r="C57" s="69"/>
      <c r="D57" s="69"/>
      <c r="E57" s="69"/>
      <c r="F57" s="69"/>
      <c r="G57" s="69"/>
      <c r="H57" s="69"/>
      <c r="I57" s="69"/>
      <c r="J57" s="69"/>
      <c r="K57" s="69"/>
      <c r="R57" s="69"/>
      <c r="S57" s="69"/>
      <c r="T57" s="69"/>
      <c r="U57" s="69"/>
      <c r="V57" s="69"/>
    </row>
    <row r="58" spans="1:22" x14ac:dyDescent="0.2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</row>
    <row r="61" spans="1:22" x14ac:dyDescent="0.2">
      <c r="B61" s="1" t="s">
        <v>67</v>
      </c>
    </row>
    <row r="62" spans="1:22" x14ac:dyDescent="0.2">
      <c r="B62" s="1" t="s">
        <v>23</v>
      </c>
      <c r="C62" s="1" t="s">
        <v>24</v>
      </c>
      <c r="D62" s="1" t="s">
        <v>26</v>
      </c>
    </row>
    <row r="63" spans="1:22" x14ac:dyDescent="0.2">
      <c r="B63" s="70" t="s">
        <v>68</v>
      </c>
      <c r="C63" s="1" t="s">
        <v>32</v>
      </c>
      <c r="D63" s="1" t="s">
        <v>71</v>
      </c>
    </row>
    <row r="64" spans="1:22" x14ac:dyDescent="0.2">
      <c r="B64" s="72" t="s">
        <v>35</v>
      </c>
      <c r="C64" s="1" t="s">
        <v>36</v>
      </c>
    </row>
    <row r="65" spans="2:3" x14ac:dyDescent="0.2">
      <c r="B65" s="72" t="s">
        <v>69</v>
      </c>
      <c r="C65" s="1" t="s">
        <v>70</v>
      </c>
    </row>
  </sheetData>
  <dataValidations count="4">
    <dataValidation type="list" showInputMessage="1" showErrorMessage="1" sqref="J17:J35">
      <formula1>$D$63:$D$64</formula1>
    </dataValidation>
    <dataValidation type="list" showInputMessage="1" showErrorMessage="1" sqref="G17:G35">
      <formula1>$B$63:$B$66</formula1>
    </dataValidation>
    <dataValidation type="list" showInputMessage="1" showErrorMessage="1" sqref="H17:H35">
      <formula1>$C$63:$C$66</formula1>
    </dataValidation>
    <dataValidation type="list" allowBlank="1" showInputMessage="1" showErrorMessage="1" sqref="H57 K24 J57">
      <formula1>$AD$2:$AD$3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40" r:id="rId3" name="btnExport">
          <controlPr defaultSize="0" autoLine="0" r:id="rId4">
            <anchor moveWithCells="1">
              <from>
                <xdr:col>1</xdr:col>
                <xdr:colOff>38100</xdr:colOff>
                <xdr:row>45</xdr:row>
                <xdr:rowOff>66675</xdr:rowOff>
              </from>
              <to>
                <xdr:col>2</xdr:col>
                <xdr:colOff>1114425</xdr:colOff>
                <xdr:row>47</xdr:row>
                <xdr:rowOff>38100</xdr:rowOff>
              </to>
            </anchor>
          </controlPr>
        </control>
      </mc:Choice>
      <mc:Fallback>
        <control shapeId="1040" r:id="rId3" name="btnExpor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Export Test</vt:lpstr>
    </vt:vector>
  </TitlesOfParts>
  <Company>ABB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Ohlsson</dc:creator>
  <cp:lastModifiedBy>Janick Schmid</cp:lastModifiedBy>
  <dcterms:created xsi:type="dcterms:W3CDTF">2013-02-22T09:30:06Z</dcterms:created>
  <dcterms:modified xsi:type="dcterms:W3CDTF">2014-04-09T12:37:15Z</dcterms:modified>
</cp:coreProperties>
</file>