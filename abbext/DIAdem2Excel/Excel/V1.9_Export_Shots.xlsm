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defaultThemeVersion="124226"/>
  <bookViews>
    <workbookView xWindow="0" yWindow="60" windowWidth="19020" windowHeight="11895"/>
  </bookViews>
  <sheets>
    <sheet name="Export Shots" sheetId="4" r:id="rId1"/>
    <sheet name="Sheet1" sheetId="1" r:id="rId2"/>
    <sheet name="Sheet2" sheetId="2" r:id="rId3"/>
    <sheet name="Sheet3" sheetId="3" r:id="rId4"/>
  </sheets>
  <functionGroups builtInGroupCount="17"/>
  <externalReferences>
    <externalReference r:id="rId5"/>
  </externalReferences>
  <definedNames>
    <definedName name="a0_gear">[1]Power_Test!$BO$14</definedName>
    <definedName name="a0_travel">[1]Power_Test!$BL$14</definedName>
    <definedName name="a1_gear">[1]Power_Test!$BO$15</definedName>
    <definedName name="a1_travel">[1]Power_Test!$BL$15</definedName>
    <definedName name="a10_gear">[1]Power_Test!$BO$24</definedName>
    <definedName name="a10_travel">[1]Power_Test!$BL$24</definedName>
    <definedName name="a2_gear">[1]Power_Test!$BO$16</definedName>
    <definedName name="a2_travel">[1]Power_Test!$BL$16</definedName>
    <definedName name="a3_gear">[1]Power_Test!$BO$17</definedName>
    <definedName name="a3_travel">[1]Power_Test!$BL$17</definedName>
    <definedName name="a4_gear">[1]Power_Test!$BO$18</definedName>
    <definedName name="a4_travel">[1]Power_Test!$BL$18</definedName>
    <definedName name="a5_gear">[1]Power_Test!$BO$19</definedName>
    <definedName name="a5_travel">[1]Power_Test!$BL$19</definedName>
    <definedName name="a6_gear">[1]Power_Test!$BO$20</definedName>
    <definedName name="a6_travel">[1]Power_Test!$BL$20</definedName>
    <definedName name="a7_gear">[1]Power_Test!$BO$21</definedName>
    <definedName name="a7_travel">[1]Power_Test!$BL$21</definedName>
    <definedName name="a8_gear">[1]Power_Test!$BO$22</definedName>
    <definedName name="a8_travel">[1]Power_Test!$BL$22</definedName>
    <definedName name="a9_gear">[1]Power_Test!$BO$23</definedName>
    <definedName name="a9_travel">[1]Power_Test!$BL$23</definedName>
    <definedName name="drivePositionDeg">[1]Power_Test!$BK$28</definedName>
    <definedName name="f_supply">[1]Power_Test!$AD$5</definedName>
    <definedName name="I_int">[1]Power_Test!$AT$13:$AT$523</definedName>
    <definedName name="I2_int">[1]Power_Test!$AU$13:$AU$523</definedName>
    <definedName name="Overlap">[1]Power_Test!$AD$4</definedName>
    <definedName name="_xlnm.Print_Area" localSheetId="0">'Export Shots'!$A$2:$Q$57</definedName>
    <definedName name="PufferPosition">[1]Power_Test!$R$13:$R$523</definedName>
    <definedName name="qq" localSheetId="0" hidden="1">{#N/A,#N/A,FALSE,"Breve Durata";#N/A,#N/A,FALSE,"Magnetizzanti";#N/A,#N/A,FALSE,"confronto velocità C";#N/A,#N/A,FALSE,"confronto velocità O";#N/A,#N/A,FALSE,"Linee vuoto"}</definedName>
    <definedName name="qq" hidden="1">{#N/A,#N/A,FALSE,"Breve Durata";#N/A,#N/A,FALSE,"Magnetizzanti";#N/A,#N/A,FALSE,"confronto velocità C";#N/A,#N/A,FALSE,"confronto velocità O";#N/A,#N/A,FALSE,"Linee vuoto"}</definedName>
    <definedName name="travel">'Export Shots'!$AE$2:$AE$4</definedName>
    <definedName name="travel_degTomm">[1]Power_Test!$BL$28</definedName>
    <definedName name="trovanome" hidden="1">{#N/A,#N/A,FALSE,"Breve Durata";#N/A,#N/A,FALSE,"Magnetizzanti";#N/A,#N/A,FALSE,"confronto velocità C";#N/A,#N/A,FALSE,"confronto velocità O";#N/A,#N/A,FALSE,"Linee vuoto"}</definedName>
    <definedName name="wrn.prova." localSheetId="0" hidden="1">{#N/A,#N/A,FALSE,"Breve Durata";#N/A,#N/A,FALSE,"Magnetizzanti";#N/A,#N/A,FALSE,"confronto velocità C";#N/A,#N/A,FALSE,"confronto velocità O";#N/A,#N/A,FALSE,"Linee vuoto"}</definedName>
    <definedName name="wrn.prova." hidden="1">{#N/A,#N/A,FALSE,"Breve Durata";#N/A,#N/A,FALSE,"Magnetizzanti";#N/A,#N/A,FALSE,"confronto velocità C";#N/A,#N/A,FALSE,"confronto velocità O";#N/A,#N/A,FALSE,"Linee vuoto"}</definedName>
  </definedNames>
  <calcPr calcId="144525"/>
</workbook>
</file>

<file path=xl/calcChain.xml><?xml version="1.0" encoding="utf-8"?>
<calcChain xmlns="http://schemas.openxmlformats.org/spreadsheetml/2006/main">
  <c r="C43" i="4" l="1"/>
  <c r="C42" i="4"/>
  <c r="AQ4" i="4"/>
  <c r="AP4" i="4"/>
</calcChain>
</file>

<file path=xl/comments1.xml><?xml version="1.0" encoding="utf-8"?>
<comments xmlns="http://schemas.openxmlformats.org/spreadsheetml/2006/main">
  <authors>
    <author>chjosch2</author>
  </authors>
  <commentList>
    <comment ref="B15" authorId="0">
      <text>
        <r>
          <rPr>
            <sz val="9"/>
            <color indexed="81"/>
            <rFont val="Tahoma"/>
            <family val="2"/>
          </rPr>
          <t>Check naming with Diadem.</t>
        </r>
      </text>
    </comment>
    <comment ref="C15" authorId="0">
      <text>
        <r>
          <rPr>
            <sz val="9"/>
            <color indexed="81"/>
            <rFont val="Tahoma"/>
            <family val="2"/>
          </rPr>
          <t xml:space="preserve">Enter new name for the header in the .sdf file. The usual convention is:
"NAME_[UNIT]:" </t>
        </r>
      </text>
    </comment>
    <comment ref="D15" authorId="0">
      <text>
        <r>
          <rPr>
            <b/>
            <sz val="9"/>
            <color indexed="81"/>
            <rFont val="Tahoma"/>
            <family val="2"/>
          </rPr>
          <t>Column in SDF File</t>
        </r>
      </text>
    </comment>
    <comment ref="F15" authorId="0">
      <text>
        <r>
          <rPr>
            <sz val="9"/>
            <color indexed="81"/>
            <rFont val="Tahoma"/>
            <family val="2"/>
          </rPr>
          <t>If you do not want to set a Start Value, leave it empty.</t>
        </r>
      </text>
    </comment>
    <comment ref="G15" authorId="0">
      <text>
        <r>
          <rPr>
            <sz val="9"/>
            <color indexed="81"/>
            <rFont val="Tahoma"/>
            <family val="2"/>
          </rPr>
          <t>Select True if the channel is a travel measurement.
Select apply polynom if the travel curve is stored in degree and needs to be calculated by the polynom to get it in a metric unit.</t>
        </r>
      </text>
    </comment>
    <comment ref="H15" authorId="0">
      <text>
        <r>
          <rPr>
            <sz val="9"/>
            <color indexed="81"/>
            <rFont val="Tahoma"/>
            <family val="2"/>
          </rPr>
          <t>Select for which kind of test this values are mesured</t>
        </r>
      </text>
    </comment>
    <comment ref="I15" authorId="0">
      <text>
        <r>
          <rPr>
            <sz val="9"/>
            <color indexed="81"/>
            <rFont val="Tahoma"/>
            <family val="2"/>
          </rPr>
          <t>All Channels with the same number will be plotted on the same page in the Report.
You usually seperate the channels by unit. 
-1, -2 and -3 are special plots for current, arc voltage and TRV</t>
        </r>
      </text>
    </comment>
    <comment ref="J15" authorId="0">
      <text>
        <r>
          <rPr>
            <sz val="9"/>
            <color indexed="81"/>
            <rFont val="Tahoma"/>
            <family val="2"/>
          </rPr>
          <t>Set TRUE if DIAdem should remove inductance of this channel.</t>
        </r>
      </text>
    </comment>
    <comment ref="I17" authorId="0">
      <text>
        <r>
          <rPr>
            <sz val="9"/>
            <color indexed="81"/>
            <rFont val="Tahoma"/>
            <family val="2"/>
          </rPr>
          <t xml:space="preserve">only the I-Shunt channel should have -1. Read the Description why.
</t>
        </r>
      </text>
    </comment>
    <comment ref="I19" authorId="0">
      <text>
        <r>
          <rPr>
            <sz val="9"/>
            <color indexed="81"/>
            <rFont val="Tahoma"/>
            <family val="2"/>
          </rPr>
          <t>only the arc voltage channel should have -2. Read the Description why.</t>
        </r>
      </text>
    </comment>
    <comment ref="I20" authorId="0">
      <text>
        <r>
          <rPr>
            <sz val="9"/>
            <color indexed="81"/>
            <rFont val="Tahoma"/>
            <family val="2"/>
          </rPr>
          <t>only the TRV channel should have -3. Read the Description why.</t>
        </r>
      </text>
    </comment>
  </commentList>
</comments>
</file>

<file path=xl/sharedStrings.xml><?xml version="1.0" encoding="utf-8"?>
<sst xmlns="http://schemas.openxmlformats.org/spreadsheetml/2006/main" count="91" uniqueCount="82">
  <si>
    <t>Export Shots</t>
  </si>
  <si>
    <t>Description</t>
  </si>
  <si>
    <t>Description of the DIAdem-&gt;Excel Script</t>
  </si>
  <si>
    <t>1. In the Power_Test sheet, select the shots you want to export.</t>
  </si>
  <si>
    <t>This Excel Script works for Diadem-&gt;Excel V1.9</t>
  </si>
  <si>
    <t>2. Check  Mechanical and Power Channel Names in DIAdem. Enter your extra channel names.</t>
  </si>
  <si>
    <t>3. Check Start Value for Pressure Channels (normally enter filling pressure in Pa).</t>
  </si>
  <si>
    <t>Purpose:</t>
  </si>
  <si>
    <t>4. Enter the other data. Additional help is placed in the comments</t>
  </si>
  <si>
    <t>This Script is here to easily extract Testdata from the Dataserver via DIAdem and keep repeditive work to a minimum.</t>
  </si>
  <si>
    <t>5. Export the config file in the same folder as the files you want to be exported</t>
  </si>
  <si>
    <t>6. Open The config file with the DIAdem -&gt; Excel Script located in the ABB Menu</t>
  </si>
  <si>
    <t>Processing for each Channel:</t>
  </si>
  <si>
    <t>Read the Script Description on the right side if you don't know what DIAdem-Excel is doing.</t>
  </si>
  <si>
    <t>1. Cut out unneeded data before the trigger Signal</t>
  </si>
  <si>
    <t>2. Make all channels Equidistant</t>
  </si>
  <si>
    <t>3. Save Shots to Excel File</t>
  </si>
  <si>
    <t>measured Channels</t>
  </si>
  <si>
    <t>4. Calculate travel curve (reverse curve if it is a C-Shot), calculate Polynom</t>
  </si>
  <si>
    <t>Channel Name</t>
  </si>
  <si>
    <t>Name in SDF File</t>
  </si>
  <si>
    <t>Column</t>
  </si>
  <si>
    <t>Mult Factor</t>
  </si>
  <si>
    <t>Start Value</t>
  </si>
  <si>
    <t>Travel Curve</t>
  </si>
  <si>
    <t>Use in</t>
  </si>
  <si>
    <t>Plot #</t>
  </si>
  <si>
    <t>Remove Inductance</t>
  </si>
  <si>
    <t>5. Apply Mult Factor and Start value, remove inductance</t>
  </si>
  <si>
    <t>Time</t>
  </si>
  <si>
    <t>Time_[s]:</t>
  </si>
  <si>
    <t>6. Save Shots in SDF file and create a PDF report.</t>
  </si>
  <si>
    <t>I-TO</t>
  </si>
  <si>
    <t>Current_[A]:</t>
  </si>
  <si>
    <t>Power</t>
  </si>
  <si>
    <t>s-Drive</t>
  </si>
  <si>
    <t>Travel_C_[m]:</t>
  </si>
  <si>
    <t>Power &amp; Mech</t>
  </si>
  <si>
    <t>Output for each Shot:</t>
  </si>
  <si>
    <t>p-Comp</t>
  </si>
  <si>
    <t>Puffer_pressure_[Pa]:</t>
  </si>
  <si>
    <t>Excel file:</t>
  </si>
  <si>
    <t>Contains unformatted raw data.</t>
  </si>
  <si>
    <t>U-TO</t>
  </si>
  <si>
    <t>Arc_voltage_[V]:</t>
  </si>
  <si>
    <t>SDF file:</t>
  </si>
  <si>
    <t>Contains formatted data separated with a whitespace.</t>
  </si>
  <si>
    <t>s-Spring</t>
  </si>
  <si>
    <t>Spring_[m]:</t>
  </si>
  <si>
    <t>PDF file:</t>
  </si>
  <si>
    <t>Contains the Report with different Plots</t>
  </si>
  <si>
    <t>p-Drive-x</t>
  </si>
  <si>
    <t>Drive_x_pressure_[Pa]:</t>
  </si>
  <si>
    <t>p-Drive-z</t>
  </si>
  <si>
    <t>Drive_z_pressure_[Pa]:</t>
  </si>
  <si>
    <t>Description how DIAdem-&gt;Excel creates report files</t>
  </si>
  <si>
    <t>p-Drive-t</t>
  </si>
  <si>
    <t>Drive_t_pressure_[Pa]:</t>
  </si>
  <si>
    <t>In the Report file, DIAdem-&gt;Excel should create 2 special plots: current and arc voltage, current and TRV.</t>
  </si>
  <si>
    <t>p-Drive-p</t>
  </si>
  <si>
    <t>Drive_p_pressure_[Pa]:</t>
  </si>
  <si>
    <t>All other channels should be plotted like the Mechchannels, Travel curve on the left axis and the different channels on the right.</t>
  </si>
  <si>
    <t>Thus, I-Shunt, arc voltage and TRV need to be flagged specificly, that's why they have the unique -1,-2 and -3 numbers.</t>
  </si>
  <si>
    <t>R &amp; I:</t>
  </si>
  <si>
    <r>
      <t xml:space="preserve">Mesure the peak value of current </t>
    </r>
    <r>
      <rPr>
        <i/>
        <sz val="10"/>
        <rFont val="Arial"/>
        <family val="2"/>
      </rPr>
      <t>Î</t>
    </r>
    <r>
      <rPr>
        <sz val="10"/>
        <rFont val="Arial"/>
        <family val="2"/>
      </rPr>
      <t xml:space="preserve"> and voltage </t>
    </r>
    <r>
      <rPr>
        <i/>
        <sz val="10"/>
        <rFont val="Arial"/>
        <family val="2"/>
      </rPr>
      <t>Û</t>
    </r>
    <r>
      <rPr>
        <sz val="10"/>
        <rFont val="Arial"/>
        <family val="2"/>
      </rPr>
      <t xml:space="preserve"> and the timedifference </t>
    </r>
    <r>
      <rPr>
        <i/>
        <sz val="10"/>
        <rFont val="Arial"/>
        <family val="2"/>
      </rPr>
      <t>∆t</t>
    </r>
    <r>
      <rPr>
        <sz val="10"/>
        <rFont val="Arial"/>
        <family val="2"/>
      </rPr>
      <t xml:space="preserve"> between this points in the range before CS.</t>
    </r>
  </si>
  <si>
    <t>Calculate R and L with these formulars or use the automatic calculation of this sheet:</t>
  </si>
  <si>
    <t>Resistance and Inductance</t>
  </si>
  <si>
    <t>Voltage peak Û:</t>
  </si>
  <si>
    <t>kV</t>
  </si>
  <si>
    <t>Current peak Î:</t>
  </si>
  <si>
    <t>kA</t>
  </si>
  <si>
    <t>timedelay ∆t:</t>
  </si>
  <si>
    <t>ms</t>
  </si>
  <si>
    <t>Resistance R:</t>
  </si>
  <si>
    <r>
      <t>m</t>
    </r>
    <r>
      <rPr>
        <sz val="10"/>
        <rFont val="Calibri"/>
        <family val="2"/>
      </rPr>
      <t>Ω</t>
    </r>
  </si>
  <si>
    <t>Inductance L:</t>
  </si>
  <si>
    <r>
      <rPr>
        <sz val="10"/>
        <rFont val="Calibri"/>
        <family val="2"/>
      </rPr>
      <t>µ</t>
    </r>
    <r>
      <rPr>
        <sz val="8.8000000000000007"/>
        <rFont val="Arial"/>
        <family val="2"/>
      </rPr>
      <t>H</t>
    </r>
  </si>
  <si>
    <t>Travel_[m]:</t>
  </si>
  <si>
    <t>Puffer_pressure_[Pa]</t>
  </si>
  <si>
    <t>Arc_voltage_[V]</t>
  </si>
  <si>
    <t>TRV_[V]</t>
  </si>
  <si>
    <t>Heating_pressure_[Pa]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</si>
</sst>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_-;\-* #,##0_-;_-* &quot;-&quot;_-;_-@_-"/>
    <numFmt numFmtId="165" formatCode="_-* #,##0.00_-;\-* #,##0.00_-;_-* &quot;-&quot;??_-;_-@_-"/>
    <numFmt numFmtId="166" formatCode="_-&quot;L.&quot;\ * #,##0_-;\-&quot;L.&quot;\ * #,##0_-;_-&quot;L.&quot;\ * &quot;-&quot;_-;_-@_-"/>
    <numFmt numFmtId="167" formatCode="_-&quot;L.&quot;\ * #,##0.00_-;\-&quot;L.&quot;\ * #,##0.00_-;_-&quot;L.&quot;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800000000000000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48">
    <xf numFmtId="0" fontId="0" fillId="0" borderId="0"/>
    <xf numFmtId="0" fontId="2" fillId="0" borderId="0"/>
    <xf numFmtId="0" fontId="1" fillId="0" borderId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1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0" fillId="22" borderId="12" applyNumberFormat="0" applyFont="0" applyAlignment="0" applyProtection="0"/>
    <xf numFmtId="0" fontId="12" fillId="23" borderId="13" applyNumberFormat="0" applyAlignment="0" applyProtection="0"/>
    <xf numFmtId="0" fontId="13" fillId="10" borderId="0" applyNumberFormat="0" applyBorder="0" applyAlignment="0" applyProtection="0"/>
    <xf numFmtId="0" fontId="14" fillId="9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7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13" borderId="13" applyNumberFormat="0" applyAlignment="0" applyProtection="0"/>
    <xf numFmtId="0" fontId="17" fillId="28" borderId="14" applyNumberFormat="0" applyAlignment="0" applyProtection="0"/>
    <xf numFmtId="0" fontId="18" fillId="0" borderId="15" applyNumberFormat="0" applyFill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16" applyNumberFormat="0" applyFill="0" applyAlignment="0" applyProtection="0"/>
    <xf numFmtId="0" fontId="21" fillId="0" borderId="17" applyNumberFormat="0" applyFill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19" applyNumberFormat="0" applyFill="0" applyAlignment="0" applyProtection="0"/>
    <xf numFmtId="0" fontId="24" fillId="23" borderId="20" applyNumberFormat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5" fillId="0" borderId="0" applyNumberFormat="0" applyFill="0" applyBorder="0" applyAlignment="0" applyProtection="0"/>
  </cellStyleXfs>
  <cellXfs count="72">
    <xf numFmtId="0" fontId="0" fillId="0" borderId="0" xfId="0"/>
    <xf numFmtId="0" fontId="2" fillId="0" borderId="0" xfId="1"/>
    <xf numFmtId="0" fontId="2" fillId="0" borderId="0" xfId="1" applyAlignment="1">
      <alignment horizontal="center"/>
    </xf>
    <xf numFmtId="0" fontId="3" fillId="0" borderId="1" xfId="1" applyFont="1" applyBorder="1"/>
    <xf numFmtId="0" fontId="2" fillId="0" borderId="1" xfId="1" applyBorder="1"/>
    <xf numFmtId="0" fontId="4" fillId="0" borderId="0" xfId="1" applyFont="1"/>
    <xf numFmtId="0" fontId="4" fillId="0" borderId="0" xfId="1" applyFont="1" applyFill="1" applyBorder="1"/>
    <xf numFmtId="0" fontId="2" fillId="0" borderId="0" xfId="1" applyFont="1"/>
    <xf numFmtId="0" fontId="2" fillId="0" borderId="0" xfId="1" applyFill="1" applyBorder="1"/>
    <xf numFmtId="0" fontId="4" fillId="0" borderId="0" xfId="1" applyFont="1" applyFill="1" applyBorder="1" applyAlignment="1">
      <alignment horizontal="left"/>
    </xf>
    <xf numFmtId="0" fontId="2" fillId="0" borderId="0" xfId="1" applyBorder="1"/>
    <xf numFmtId="0" fontId="2" fillId="0" borderId="1" xfId="1" applyFill="1" applyBorder="1" applyAlignment="1"/>
    <xf numFmtId="0" fontId="2" fillId="2" borderId="2" xfId="1" applyFill="1" applyBorder="1"/>
    <xf numFmtId="0" fontId="2" fillId="0" borderId="3" xfId="1" applyBorder="1" applyAlignment="1">
      <alignment horizontal="center"/>
    </xf>
    <xf numFmtId="0" fontId="2" fillId="0" borderId="4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3" xfId="1" applyBorder="1"/>
    <xf numFmtId="0" fontId="2" fillId="0" borderId="4" xfId="1" applyBorder="1"/>
    <xf numFmtId="11" fontId="2" fillId="0" borderId="6" xfId="1" applyNumberFormat="1" applyBorder="1" applyAlignment="1">
      <alignment horizontal="right"/>
    </xf>
    <xf numFmtId="0" fontId="2" fillId="3" borderId="2" xfId="1" applyFill="1" applyBorder="1"/>
    <xf numFmtId="0" fontId="2" fillId="3" borderId="7" xfId="1" applyFill="1" applyBorder="1"/>
    <xf numFmtId="0" fontId="2" fillId="3" borderId="7" xfId="1" applyNumberFormat="1" applyFill="1" applyBorder="1" applyAlignment="1"/>
    <xf numFmtId="11" fontId="2" fillId="3" borderId="8" xfId="1" applyNumberFormat="1" applyFill="1" applyBorder="1" applyAlignment="1">
      <alignment horizontal="right"/>
    </xf>
    <xf numFmtId="0" fontId="2" fillId="4" borderId="7" xfId="1" applyFill="1" applyBorder="1" applyAlignment="1">
      <alignment horizontal="center"/>
    </xf>
    <xf numFmtId="0" fontId="2" fillId="4" borderId="2" xfId="1" applyFill="1" applyBorder="1" applyAlignment="1">
      <alignment horizontal="center"/>
    </xf>
    <xf numFmtId="0" fontId="2" fillId="3" borderId="7" xfId="1" applyFill="1" applyBorder="1" applyAlignment="1">
      <alignment horizontal="center"/>
    </xf>
    <xf numFmtId="0" fontId="2" fillId="3" borderId="2" xfId="1" applyFont="1" applyFill="1" applyBorder="1"/>
    <xf numFmtId="0" fontId="2" fillId="3" borderId="9" xfId="1" applyFill="1" applyBorder="1"/>
    <xf numFmtId="0" fontId="2" fillId="3" borderId="10" xfId="1" applyFill="1" applyBorder="1"/>
    <xf numFmtId="0" fontId="2" fillId="3" borderId="10" xfId="1" applyNumberFormat="1" applyFill="1" applyBorder="1" applyAlignment="1"/>
    <xf numFmtId="11" fontId="2" fillId="3" borderId="11" xfId="1" applyNumberFormat="1" applyFill="1" applyBorder="1" applyAlignment="1">
      <alignment horizontal="right"/>
    </xf>
    <xf numFmtId="0" fontId="2" fillId="4" borderId="10" xfId="1" applyFill="1" applyBorder="1" applyAlignment="1">
      <alignment horizontal="center"/>
    </xf>
    <xf numFmtId="0" fontId="2" fillId="4" borderId="9" xfId="1" applyFill="1" applyBorder="1" applyAlignment="1">
      <alignment horizontal="center"/>
    </xf>
    <xf numFmtId="0" fontId="2" fillId="3" borderId="10" xfId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0" fontId="2" fillId="2" borderId="2" xfId="1" applyFont="1" applyFill="1" applyBorder="1"/>
    <xf numFmtId="0" fontId="2" fillId="5" borderId="2" xfId="1" applyFont="1" applyFill="1" applyBorder="1"/>
    <xf numFmtId="0" fontId="2" fillId="5" borderId="7" xfId="1" applyFont="1" applyFill="1" applyBorder="1" applyAlignment="1">
      <alignment horizontal="left"/>
    </xf>
    <xf numFmtId="0" fontId="2" fillId="5" borderId="7" xfId="1" applyNumberFormat="1" applyFill="1" applyBorder="1" applyAlignment="1">
      <alignment horizontal="right"/>
    </xf>
    <xf numFmtId="0" fontId="2" fillId="5" borderId="7" xfId="1" applyNumberFormat="1" applyFont="1" applyFill="1" applyBorder="1" applyAlignment="1">
      <alignment horizontal="right"/>
    </xf>
    <xf numFmtId="11" fontId="2" fillId="5" borderId="8" xfId="1" applyNumberFormat="1" applyFill="1" applyBorder="1" applyAlignment="1">
      <alignment horizontal="right"/>
    </xf>
    <xf numFmtId="0" fontId="2" fillId="6" borderId="7" xfId="1" applyFill="1" applyBorder="1" applyAlignment="1">
      <alignment horizontal="center"/>
    </xf>
    <xf numFmtId="0" fontId="2" fillId="6" borderId="2" xfId="1" applyFill="1" applyBorder="1" applyAlignment="1">
      <alignment horizontal="center"/>
    </xf>
    <xf numFmtId="0" fontId="2" fillId="5" borderId="7" xfId="1" applyFill="1" applyBorder="1" applyAlignment="1">
      <alignment horizontal="center"/>
    </xf>
    <xf numFmtId="0" fontId="2" fillId="5" borderId="7" xfId="1" applyFill="1" applyBorder="1"/>
    <xf numFmtId="0" fontId="2" fillId="0" borderId="2" xfId="1" applyBorder="1"/>
    <xf numFmtId="0" fontId="2" fillId="5" borderId="2" xfId="1" applyFill="1" applyBorder="1"/>
    <xf numFmtId="0" fontId="2" fillId="0" borderId="0" xfId="1" applyFill="1" applyBorder="1" applyAlignment="1">
      <alignment horizontal="left"/>
    </xf>
    <xf numFmtId="0" fontId="2" fillId="5" borderId="7" xfId="1" applyNumberFormat="1" applyFill="1" applyBorder="1" applyAlignment="1"/>
    <xf numFmtId="0" fontId="2" fillId="5" borderId="7" xfId="1" applyNumberFormat="1" applyFont="1" applyFill="1" applyBorder="1" applyAlignment="1"/>
    <xf numFmtId="0" fontId="2" fillId="5" borderId="7" xfId="1" applyFont="1" applyFill="1" applyBorder="1"/>
    <xf numFmtId="0" fontId="2" fillId="5" borderId="10" xfId="1" applyFill="1" applyBorder="1"/>
    <xf numFmtId="0" fontId="2" fillId="5" borderId="10" xfId="1" applyNumberFormat="1" applyFill="1" applyBorder="1" applyAlignment="1"/>
    <xf numFmtId="11" fontId="2" fillId="5" borderId="11" xfId="1" applyNumberFormat="1" applyFill="1" applyBorder="1" applyAlignment="1">
      <alignment horizontal="right"/>
    </xf>
    <xf numFmtId="0" fontId="2" fillId="6" borderId="10" xfId="1" applyFill="1" applyBorder="1" applyAlignment="1">
      <alignment horizontal="center"/>
    </xf>
    <xf numFmtId="0" fontId="2" fillId="6" borderId="9" xfId="1" applyFill="1" applyBorder="1" applyAlignment="1">
      <alignment horizontal="center"/>
    </xf>
    <xf numFmtId="0" fontId="2" fillId="5" borderId="10" xfId="1" applyFill="1" applyBorder="1" applyAlignment="1">
      <alignment horizontal="center"/>
    </xf>
    <xf numFmtId="11" fontId="4" fillId="0" borderId="0" xfId="1" applyNumberFormat="1" applyFont="1" applyFill="1" applyBorder="1" applyAlignment="1">
      <alignment horizontal="left"/>
    </xf>
    <xf numFmtId="0" fontId="2" fillId="4" borderId="6" xfId="1" applyFont="1" applyFill="1" applyBorder="1"/>
    <xf numFmtId="0" fontId="2" fillId="6" borderId="4" xfId="1" applyFill="1" applyBorder="1"/>
    <xf numFmtId="0" fontId="2" fillId="4" borderId="3" xfId="1" applyFont="1" applyFill="1" applyBorder="1"/>
    <xf numFmtId="0" fontId="2" fillId="4" borderId="8" xfId="1" quotePrefix="1" applyFont="1" applyFill="1" applyBorder="1"/>
    <xf numFmtId="0" fontId="2" fillId="6" borderId="7" xfId="1" applyFill="1" applyBorder="1"/>
    <xf numFmtId="0" fontId="2" fillId="4" borderId="2" xfId="1" applyFont="1" applyFill="1" applyBorder="1"/>
    <xf numFmtId="0" fontId="2" fillId="7" borderId="0" xfId="1" applyFill="1" applyBorder="1"/>
    <xf numFmtId="0" fontId="2" fillId="4" borderId="8" xfId="1" applyFont="1" applyFill="1" applyBorder="1"/>
    <xf numFmtId="0" fontId="2" fillId="6" borderId="10" xfId="1" applyFill="1" applyBorder="1"/>
    <xf numFmtId="0" fontId="2" fillId="4" borderId="7" xfId="1" applyNumberFormat="1" applyFill="1" applyBorder="1" applyProtection="1"/>
    <xf numFmtId="0" fontId="2" fillId="4" borderId="11" xfId="1" applyFont="1" applyFill="1" applyBorder="1"/>
    <xf numFmtId="0" fontId="2" fillId="4" borderId="10" xfId="1" applyNumberFormat="1" applyFill="1" applyBorder="1" applyProtection="1"/>
    <xf numFmtId="0" fontId="2" fillId="4" borderId="9" xfId="1" applyFont="1" applyFill="1" applyBorder="1"/>
    <xf numFmtId="0" fontId="1" fillId="0" borderId="0" xfId="2"/>
  </cellXfs>
  <cellStyles count="48">
    <cellStyle name="20% - Dekorfärg1" xfId="3"/>
    <cellStyle name="20% - Dekorfärg2" xfId="4"/>
    <cellStyle name="20% - Dekorfärg3" xfId="5"/>
    <cellStyle name="20% - Dekorfärg4" xfId="6"/>
    <cellStyle name="20% - Dekorfärg5" xfId="7"/>
    <cellStyle name="20% - Dekorfärg6" xfId="8"/>
    <cellStyle name="40% - Dekorfärg1" xfId="9"/>
    <cellStyle name="40% - Dekorfärg2" xfId="10"/>
    <cellStyle name="40% - Dekorfärg3" xfId="11"/>
    <cellStyle name="40% - Dekorfärg4" xfId="12"/>
    <cellStyle name="40% - Dekorfärg5" xfId="13"/>
    <cellStyle name="40% - Dekorfärg6" xfId="14"/>
    <cellStyle name="60% - Dekorfärg1" xfId="15"/>
    <cellStyle name="60% - Dekorfärg2" xfId="16"/>
    <cellStyle name="60% - Dekorfärg3" xfId="17"/>
    <cellStyle name="60% - Dekorfärg4" xfId="18"/>
    <cellStyle name="60% - Dekorfärg5" xfId="19"/>
    <cellStyle name="60% - Dekorfärg6" xfId="20"/>
    <cellStyle name="Anteckning" xfId="21"/>
    <cellStyle name="Beräkning" xfId="22"/>
    <cellStyle name="Bra" xfId="23"/>
    <cellStyle name="Dålig" xfId="24"/>
    <cellStyle name="Färg1" xfId="25"/>
    <cellStyle name="Färg2" xfId="26"/>
    <cellStyle name="Färg3" xfId="27"/>
    <cellStyle name="Färg4" xfId="28"/>
    <cellStyle name="Färg5" xfId="29"/>
    <cellStyle name="Färg6" xfId="30"/>
    <cellStyle name="Förklarande text" xfId="31"/>
    <cellStyle name="Indata" xfId="32"/>
    <cellStyle name="Kontrollcell" xfId="33"/>
    <cellStyle name="Länkad cell" xfId="34"/>
    <cellStyle name="Migliaia (0)_PASSM0_servo_60Hz" xfId="35"/>
    <cellStyle name="Migliaia_PASSM0_servo_60Hz" xfId="36"/>
    <cellStyle name="Normal" xfId="0" builtinId="0"/>
    <cellStyle name="Normal 2" xfId="1"/>
    <cellStyle name="Normal 3" xfId="2"/>
    <cellStyle name="Normal 4" xfId="37"/>
    <cellStyle name="Rubrik" xfId="38"/>
    <cellStyle name="Rubrik 1" xfId="39"/>
    <cellStyle name="Rubrik 2" xfId="40"/>
    <cellStyle name="Rubrik 3" xfId="41"/>
    <cellStyle name="Rubrik 4" xfId="42"/>
    <cellStyle name="Summa" xfId="43"/>
    <cellStyle name="Utdata" xfId="44"/>
    <cellStyle name="Valuta (0)_PASSM0_servo_60Hz" xfId="45"/>
    <cellStyle name="Valuta_PASSM0_servo_60Hz" xfId="46"/>
    <cellStyle name="Varningstext" xfId="4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48</xdr:row>
          <xdr:rowOff>152400</xdr:rowOff>
        </xdr:from>
        <xdr:to>
          <xdr:col>2</xdr:col>
          <xdr:colOff>790575</xdr:colOff>
          <xdr:row>50</xdr:row>
          <xdr:rowOff>95250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11</xdr:col>
      <xdr:colOff>165172</xdr:colOff>
      <xdr:row>30</xdr:row>
      <xdr:rowOff>89405</xdr:rowOff>
    </xdr:from>
    <xdr:ext cx="4164374" cy="4819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1109397" y="5013830"/>
              <a:ext cx="4164374" cy="481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de-CH" sz="1100" b="0" i="1">
                        <a:latin typeface="Cambria Math"/>
                      </a:rPr>
                      <m:t>𝑅</m:t>
                    </m:r>
                    <m:r>
                      <a:rPr lang="de-CH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de-CH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de-CH" sz="1100" b="0" i="1">
                            <a:latin typeface="Cambria Math"/>
                          </a:rPr>
                          <m:t>Û</m:t>
                        </m:r>
                      </m:num>
                      <m:den>
                        <m:r>
                          <a:rPr lang="de-CH" sz="1100" b="0" i="1">
                            <a:latin typeface="Cambria Math"/>
                          </a:rPr>
                          <m:t>Î</m:t>
                        </m:r>
                      </m:den>
                    </m:f>
                    <m:r>
                      <a:rPr lang="de-CH" sz="1100" b="0" i="1">
                        <a:latin typeface="Cambria Math"/>
                      </a:rPr>
                      <m:t>∗</m:t>
                    </m:r>
                    <m:func>
                      <m:funcPr>
                        <m:ctrlPr>
                          <a:rPr lang="de-CH" sz="1100" b="0" i="1">
                            <a:latin typeface="Cambria Math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de-CH" sz="1100" b="0" i="0">
                            <a:latin typeface="Cambria Math"/>
                          </a:rPr>
                          <m:t>cos</m:t>
                        </m:r>
                      </m:fName>
                      <m:e>
                        <m:d>
                          <m:dPr>
                            <m:ctrlPr>
                              <a:rPr lang="de-CH" sz="11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de-CH" sz="11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de-CH" sz="1100" b="0" i="1">
                                    <a:latin typeface="Cambria Math"/>
                                    <a:ea typeface="Cambria Math"/>
                                  </a:rPr>
                                  <m:t>∆</m:t>
                                </m:r>
                                <m:r>
                                  <a:rPr lang="de-CH" sz="1100" b="0" i="1">
                                    <a:latin typeface="Cambria Math"/>
                                    <a:ea typeface="Cambria Math"/>
                                  </a:rPr>
                                  <m:t>𝑡</m:t>
                                </m:r>
                              </m:num>
                              <m:den>
                                <m:r>
                                  <a:rPr lang="de-CH" sz="1100" b="0" i="1">
                                    <a:latin typeface="Cambria Math"/>
                                  </a:rPr>
                                  <m:t>𝑇</m:t>
                                </m:r>
                              </m:den>
                            </m:f>
                            <m:r>
                              <a:rPr lang="de-CH" sz="1100" b="0" i="1">
                                <a:latin typeface="Cambria Math"/>
                              </a:rPr>
                              <m:t>∗360°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de-CH" sz="1100" b="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1109397" y="5013830"/>
              <a:ext cx="4164374" cy="481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CH" sz="1100" b="0" i="0">
                  <a:latin typeface="Cambria Math"/>
                </a:rPr>
                <a:t>𝑅=Û/Î∗cos⁡(</a:t>
              </a:r>
              <a:r>
                <a:rPr lang="de-CH" sz="1100" b="0" i="0">
                  <a:latin typeface="Cambria Math"/>
                  <a:ea typeface="Cambria Math"/>
                </a:rPr>
                <a:t>∆𝑡/</a:t>
              </a:r>
              <a:r>
                <a:rPr lang="de-CH" sz="1100" b="0" i="0">
                  <a:latin typeface="Cambria Math"/>
                </a:rPr>
                <a:t>𝑇∗360°)</a:t>
              </a:r>
              <a:endParaRPr lang="de-CH" sz="1100" b="0"/>
            </a:p>
          </xdr:txBody>
        </xdr:sp>
      </mc:Fallback>
    </mc:AlternateContent>
    <xdr:clientData/>
  </xdr:oneCellAnchor>
  <xdr:oneCellAnchor>
    <xdr:from>
      <xdr:col>11</xdr:col>
      <xdr:colOff>173182</xdr:colOff>
      <xdr:row>33</xdr:row>
      <xdr:rowOff>54119</xdr:rowOff>
    </xdr:from>
    <xdr:ext cx="4164374" cy="4819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1117407" y="5464319"/>
              <a:ext cx="4164374" cy="481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de-CH" sz="1100" b="0" i="1">
                        <a:latin typeface="Cambria Math"/>
                      </a:rPr>
                      <m:t>𝐿</m:t>
                    </m:r>
                    <m:r>
                      <a:rPr lang="de-CH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de-CH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de-CH" sz="1100" b="0" i="1">
                            <a:latin typeface="Cambria Math"/>
                          </a:rPr>
                          <m:t>Û</m:t>
                        </m:r>
                      </m:num>
                      <m:den>
                        <m:r>
                          <a:rPr lang="de-CH" sz="1100" b="0" i="1">
                            <a:latin typeface="Cambria Math"/>
                          </a:rPr>
                          <m:t>2∗</m:t>
                        </m:r>
                        <m:r>
                          <a:rPr lang="de-CH" sz="1100" b="0" i="1">
                            <a:latin typeface="Cambria Math"/>
                            <a:ea typeface="Cambria Math"/>
                          </a:rPr>
                          <m:t>𝜋</m:t>
                        </m:r>
                        <m:r>
                          <a:rPr lang="de-CH" sz="1100" b="0" i="1">
                            <a:latin typeface="Cambria Math"/>
                            <a:ea typeface="Cambria Math"/>
                          </a:rPr>
                          <m:t>∗</m:t>
                        </m:r>
                        <m:r>
                          <a:rPr lang="de-CH" sz="1100" b="0" i="1">
                            <a:latin typeface="Cambria Math"/>
                            <a:ea typeface="Cambria Math"/>
                          </a:rPr>
                          <m:t>𝑓</m:t>
                        </m:r>
                        <m:r>
                          <a:rPr lang="de-CH" sz="1100" b="0" i="1">
                            <a:latin typeface="Cambria Math"/>
                            <a:ea typeface="Cambria Math"/>
                          </a:rPr>
                          <m:t>∗Î</m:t>
                        </m:r>
                      </m:den>
                    </m:f>
                    <m:r>
                      <a:rPr lang="de-CH" sz="1100" b="0" i="1">
                        <a:latin typeface="Cambria Math"/>
                      </a:rPr>
                      <m:t>∗</m:t>
                    </m:r>
                    <m:func>
                      <m:funcPr>
                        <m:ctrlPr>
                          <a:rPr lang="de-CH" sz="1100" b="0" i="1">
                            <a:latin typeface="Cambria Math"/>
                          </a:rPr>
                        </m:ctrlPr>
                      </m:funcPr>
                      <m:fName>
                        <m:func>
                          <m:funcPr>
                            <m:ctrlPr>
                              <a:rPr lang="de-CH" sz="1100" b="0" i="1">
                                <a:latin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de-CH" sz="1100" b="0" i="0">
                                <a:latin typeface="Cambria Math"/>
                              </a:rPr>
                              <m:t>sin</m:t>
                            </m:r>
                          </m:fName>
                          <m:e>
                            <m:d>
                              <m:dPr>
                                <m:ctrlPr>
                                  <a:rPr lang="de-CH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de-CH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de-CH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∆</m:t>
                                    </m:r>
                                    <m:r>
                                      <a:rPr lang="de-CH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num>
                                  <m:den>
                                    <m:r>
                                      <a:rPr lang="de-CH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den>
                                </m:f>
                                <m:r>
                                  <a:rPr lang="de-CH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∗360°</m:t>
                                </m:r>
                              </m:e>
                            </m:d>
                          </m:e>
                        </m:func>
                      </m:fName>
                      <m:e>
                        <m:r>
                          <a:rPr lang="de-CH" sz="1100" b="0" i="1">
                            <a:latin typeface="Cambria Math"/>
                          </a:rPr>
                          <m:t> </m:t>
                        </m:r>
                      </m:e>
                    </m:func>
                  </m:oMath>
                </m:oMathPara>
              </a14:m>
              <a:endParaRPr lang="de-CH" sz="1100" b="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1117407" y="5464319"/>
              <a:ext cx="4164374" cy="481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CH" sz="1100" b="0" i="0">
                  <a:latin typeface="Cambria Math"/>
                </a:rPr>
                <a:t>𝐿=Û/(2∗</a:t>
              </a:r>
              <a:r>
                <a:rPr lang="de-CH" sz="1100" b="0" i="0">
                  <a:latin typeface="Cambria Math"/>
                  <a:ea typeface="Cambria Math"/>
                </a:rPr>
                <a:t>𝜋∗𝑓∗Î)</a:t>
              </a:r>
              <a:r>
                <a:rPr lang="de-CH" sz="1100" b="0" i="0">
                  <a:latin typeface="Cambria Math"/>
                </a:rPr>
                <a:t>∗sin⁡</a:t>
              </a:r>
              <a:r>
                <a:rPr lang="de-CH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(∆𝑡/𝑇∗360°)⁡</a:t>
              </a:r>
              <a:r>
                <a:rPr lang="de-CH" sz="1100" b="0" i="0">
                  <a:latin typeface="Cambria Math"/>
                </a:rPr>
                <a:t> </a:t>
              </a:r>
              <a:endParaRPr lang="de-CH" sz="1100" b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streport/Testreport_Templ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Power_Test"/>
      <sheetName val="Pool"/>
      <sheetName val="List"/>
      <sheetName val="Evaluation"/>
      <sheetName val="Graph_to_Test_Overview"/>
      <sheetName val="Contact Position"/>
      <sheetName val="Assembling"/>
      <sheetName val="Dimensions"/>
      <sheetName val="Export Shots"/>
    </sheetNames>
    <sheetDataSet>
      <sheetData sheetId="0"/>
      <sheetData sheetId="1">
        <row r="5">
          <cell r="AD5">
            <v>50</v>
          </cell>
        </row>
        <row r="13">
          <cell r="R13" t="str">
            <v>Puffer Position at I=0</v>
          </cell>
          <cell r="AT13" t="str">
            <v>Current Integral</v>
          </cell>
          <cell r="AU13" t="str">
            <v>(Current)2 Integral</v>
          </cell>
        </row>
        <row r="22">
          <cell r="R22" t="str">
            <v>mm</v>
          </cell>
          <cell r="AT22" t="str">
            <v>As</v>
          </cell>
          <cell r="AU22" t="str">
            <v>MA²s</v>
          </cell>
        </row>
        <row r="28">
          <cell r="BL2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externalLinkPath" Target="Testreport/Testreport_Template.xlt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Q57"/>
  <sheetViews>
    <sheetView showGridLines="0" tabSelected="1" zoomScale="88" zoomScaleNormal="88" workbookViewId="0"/>
  </sheetViews>
  <sheetFormatPr defaultRowHeight="12.75" x14ac:dyDescent="0.2"/>
  <cols>
    <col min="1" max="1" width="13" style="1" customWidth="1"/>
    <col min="2" max="2" width="15.28515625" style="1" customWidth="1"/>
    <col min="3" max="3" width="22.7109375" style="1" customWidth="1"/>
    <col min="4" max="4" width="9.42578125" style="1" bestFit="1" customWidth="1"/>
    <col min="5" max="5" width="10.5703125" style="1" customWidth="1"/>
    <col min="6" max="6" width="10.7109375" style="1" bestFit="1" customWidth="1"/>
    <col min="7" max="7" width="20.42578125" style="1" bestFit="1" customWidth="1"/>
    <col min="8" max="8" width="14.5703125" style="1" bestFit="1" customWidth="1"/>
    <col min="9" max="9" width="6.7109375" style="1" customWidth="1"/>
    <col min="10" max="10" width="19.28515625" style="1" customWidth="1"/>
    <col min="11" max="11" width="21.42578125" style="1" customWidth="1"/>
    <col min="12" max="12" width="10.7109375" style="1" customWidth="1"/>
    <col min="13" max="13" width="10.28515625" style="1" bestFit="1" customWidth="1"/>
    <col min="14" max="14" width="6.42578125" style="1" bestFit="1" customWidth="1"/>
    <col min="15" max="15" width="13.5703125" style="1" customWidth="1"/>
    <col min="16" max="16" width="17.140625" style="1" customWidth="1"/>
    <col min="17" max="18" width="16.140625" style="1" customWidth="1"/>
    <col min="19" max="19" width="10.42578125" style="1" bestFit="1" customWidth="1"/>
    <col min="20" max="24" width="11.42578125" style="1" customWidth="1"/>
    <col min="25" max="29" width="9.140625" style="1"/>
    <col min="30" max="30" width="16.5703125" style="1" bestFit="1" customWidth="1"/>
    <col min="31" max="31" width="29.42578125" style="1" bestFit="1" customWidth="1"/>
    <col min="32" max="16384" width="9.140625" style="1"/>
  </cols>
  <sheetData>
    <row r="1" spans="1:43" x14ac:dyDescent="0.2">
      <c r="AB1" s="2"/>
      <c r="AC1" s="2"/>
    </row>
    <row r="2" spans="1:43" ht="18" x14ac:dyDescent="0.25">
      <c r="A2" s="3" t="s">
        <v>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AB2" s="2"/>
      <c r="AC2" s="2"/>
      <c r="AE2" s="2"/>
    </row>
    <row r="3" spans="1:43" x14ac:dyDescent="0.2">
      <c r="AB3" s="2"/>
      <c r="AC3" s="2"/>
      <c r="AE3" s="2"/>
    </row>
    <row r="4" spans="1:43" x14ac:dyDescent="0.2">
      <c r="B4" s="5" t="s">
        <v>1</v>
      </c>
      <c r="L4" s="6" t="s">
        <v>2</v>
      </c>
      <c r="AB4" s="2"/>
      <c r="AC4" s="2"/>
      <c r="AE4" s="2"/>
      <c r="AP4" s="1" t="str">
        <f>IF([1]Power_Test!BW$13&lt;&gt;"","'"&amp;[1]Power_Test!BW$13 &amp; "'-Polynom","")</f>
        <v/>
      </c>
      <c r="AQ4" s="1" t="str">
        <f>IF([1]Power_Test!BX$13&lt;&gt;"","'"&amp;[1]Power_Test!BX$13 &amp; "'-Polynom","")</f>
        <v/>
      </c>
    </row>
    <row r="5" spans="1:43" x14ac:dyDescent="0.2">
      <c r="B5" s="1" t="s">
        <v>3</v>
      </c>
      <c r="L5" s="7" t="s">
        <v>4</v>
      </c>
      <c r="Q5" s="8"/>
      <c r="AB5" s="2"/>
      <c r="AC5" s="2"/>
      <c r="AE5" s="2"/>
    </row>
    <row r="6" spans="1:43" x14ac:dyDescent="0.2">
      <c r="B6" s="1" t="s">
        <v>5</v>
      </c>
      <c r="AB6" s="2"/>
      <c r="AC6" s="2"/>
      <c r="AE6" s="2"/>
    </row>
    <row r="7" spans="1:43" x14ac:dyDescent="0.2">
      <c r="B7" s="1" t="s">
        <v>6</v>
      </c>
      <c r="L7" s="1" t="s">
        <v>7</v>
      </c>
      <c r="AB7" s="2"/>
      <c r="AC7" s="2"/>
      <c r="AE7" s="2"/>
    </row>
    <row r="8" spans="1:43" ht="12.75" customHeight="1" x14ac:dyDescent="0.2">
      <c r="B8" s="1" t="s">
        <v>8</v>
      </c>
      <c r="M8" s="1" t="s">
        <v>9</v>
      </c>
      <c r="AC8" s="2"/>
      <c r="AE8" s="2"/>
    </row>
    <row r="9" spans="1:43" x14ac:dyDescent="0.2">
      <c r="B9" s="1" t="s">
        <v>10</v>
      </c>
      <c r="AC9" s="2"/>
      <c r="AE9" s="2"/>
    </row>
    <row r="10" spans="1:43" x14ac:dyDescent="0.2">
      <c r="B10" s="1" t="s">
        <v>11</v>
      </c>
      <c r="L10" s="1" t="s">
        <v>12</v>
      </c>
      <c r="AC10" s="2"/>
      <c r="AE10" s="2"/>
    </row>
    <row r="11" spans="1:43" x14ac:dyDescent="0.2">
      <c r="C11" s="1" t="s">
        <v>13</v>
      </c>
      <c r="M11" s="1" t="s">
        <v>14</v>
      </c>
      <c r="AC11" s="2"/>
      <c r="AE11" s="2"/>
    </row>
    <row r="12" spans="1:43" x14ac:dyDescent="0.2">
      <c r="M12" s="1" t="s">
        <v>15</v>
      </c>
      <c r="AC12" s="2"/>
      <c r="AE12" s="2"/>
    </row>
    <row r="13" spans="1:43" x14ac:dyDescent="0.2">
      <c r="M13" s="1" t="s">
        <v>16</v>
      </c>
      <c r="Z13" s="9"/>
      <c r="AC13" s="2"/>
    </row>
    <row r="14" spans="1:43" x14ac:dyDescent="0.2">
      <c r="B14" s="6" t="s">
        <v>17</v>
      </c>
      <c r="C14" s="10"/>
      <c r="D14" s="8"/>
      <c r="E14" s="8"/>
      <c r="F14" s="8"/>
      <c r="G14" s="8"/>
      <c r="H14" s="11"/>
      <c r="I14" s="11"/>
      <c r="M14" s="1" t="s">
        <v>18</v>
      </c>
      <c r="Z14" s="9"/>
      <c r="AC14" s="2"/>
    </row>
    <row r="15" spans="1:43" x14ac:dyDescent="0.2">
      <c r="A15" s="12"/>
      <c r="B15" s="13" t="s">
        <v>19</v>
      </c>
      <c r="C15" s="14" t="s">
        <v>20</v>
      </c>
      <c r="D15" s="14" t="s">
        <v>21</v>
      </c>
      <c r="E15" s="14" t="s">
        <v>22</v>
      </c>
      <c r="F15" s="14" t="s">
        <v>23</v>
      </c>
      <c r="G15" s="14" t="s">
        <v>24</v>
      </c>
      <c r="H15" s="15" t="s">
        <v>25</v>
      </c>
      <c r="I15" s="14" t="s">
        <v>26</v>
      </c>
      <c r="J15" s="14" t="s">
        <v>27</v>
      </c>
      <c r="M15" s="1" t="s">
        <v>28</v>
      </c>
      <c r="Z15" s="8"/>
      <c r="AC15" s="2"/>
    </row>
    <row r="16" spans="1:43" x14ac:dyDescent="0.2">
      <c r="A16" s="12"/>
      <c r="B16" s="16" t="s">
        <v>29</v>
      </c>
      <c r="C16" s="17" t="s">
        <v>30</v>
      </c>
      <c r="D16" s="17">
        <v>1</v>
      </c>
      <c r="E16" s="17">
        <v>1</v>
      </c>
      <c r="F16" s="18"/>
      <c r="G16" s="17"/>
      <c r="I16" s="17"/>
      <c r="J16" s="17"/>
      <c r="M16" s="1" t="s">
        <v>31</v>
      </c>
      <c r="Z16" s="8"/>
      <c r="AA16" s="8"/>
      <c r="AC16" s="2"/>
    </row>
    <row r="17" spans="1:30" x14ac:dyDescent="0.2">
      <c r="A17" s="12"/>
      <c r="B17" s="19" t="s">
        <v>32</v>
      </c>
      <c r="C17" s="20" t="s">
        <v>33</v>
      </c>
      <c r="D17" s="21">
        <v>2</v>
      </c>
      <c r="E17" s="21">
        <v>1000</v>
      </c>
      <c r="F17" s="22"/>
      <c r="G17" s="23"/>
      <c r="H17" s="24" t="s">
        <v>34</v>
      </c>
      <c r="I17" s="25">
        <v>-1</v>
      </c>
      <c r="J17" s="20"/>
      <c r="Z17" s="8"/>
      <c r="AA17" s="8"/>
      <c r="AC17" s="2"/>
    </row>
    <row r="18" spans="1:30" x14ac:dyDescent="0.2">
      <c r="A18" s="12"/>
      <c r="B18" s="19" t="s">
        <v>35</v>
      </c>
      <c r="C18" s="20" t="s">
        <v>36</v>
      </c>
      <c r="D18" s="21">
        <v>3</v>
      </c>
      <c r="E18" s="21">
        <v>-1E-3</v>
      </c>
      <c r="F18" s="22">
        <v>0</v>
      </c>
      <c r="G18" s="23" t="b">
        <v>1</v>
      </c>
      <c r="H18" s="24" t="s">
        <v>37</v>
      </c>
      <c r="I18" s="25">
        <v>0</v>
      </c>
      <c r="J18" s="20"/>
      <c r="L18" s="1" t="s">
        <v>38</v>
      </c>
      <c r="Z18" s="8"/>
      <c r="AA18" s="8"/>
      <c r="AC18" s="2"/>
    </row>
    <row r="19" spans="1:30" x14ac:dyDescent="0.2">
      <c r="A19" s="12"/>
      <c r="B19" s="26" t="s">
        <v>39</v>
      </c>
      <c r="C19" s="20" t="s">
        <v>40</v>
      </c>
      <c r="D19" s="21">
        <v>4</v>
      </c>
      <c r="E19" s="21">
        <v>100000</v>
      </c>
      <c r="F19" s="22">
        <v>600000</v>
      </c>
      <c r="G19" s="23"/>
      <c r="H19" s="24" t="s">
        <v>37</v>
      </c>
      <c r="I19" s="25">
        <v>1</v>
      </c>
      <c r="J19" s="20"/>
      <c r="M19" s="1" t="s">
        <v>41</v>
      </c>
      <c r="N19" s="1" t="s">
        <v>42</v>
      </c>
      <c r="AC19" s="2"/>
    </row>
    <row r="20" spans="1:30" x14ac:dyDescent="0.2">
      <c r="A20" s="12"/>
      <c r="B20" s="19" t="s">
        <v>43</v>
      </c>
      <c r="C20" s="20" t="s">
        <v>44</v>
      </c>
      <c r="D20" s="21">
        <v>5</v>
      </c>
      <c r="E20" s="21">
        <v>1000</v>
      </c>
      <c r="F20" s="22"/>
      <c r="G20" s="23"/>
      <c r="H20" s="24" t="s">
        <v>34</v>
      </c>
      <c r="I20" s="25">
        <v>-2</v>
      </c>
      <c r="J20" s="20" t="b">
        <v>1</v>
      </c>
      <c r="M20" s="1" t="s">
        <v>45</v>
      </c>
      <c r="N20" s="1" t="s">
        <v>46</v>
      </c>
      <c r="AC20" s="2"/>
    </row>
    <row r="21" spans="1:30" x14ac:dyDescent="0.2">
      <c r="A21" s="12"/>
      <c r="B21" s="27" t="s">
        <v>47</v>
      </c>
      <c r="C21" s="28" t="s">
        <v>48</v>
      </c>
      <c r="D21" s="29">
        <v>6</v>
      </c>
      <c r="E21" s="29">
        <v>-1</v>
      </c>
      <c r="F21" s="30">
        <v>0</v>
      </c>
      <c r="G21" s="31" t="b">
        <v>1</v>
      </c>
      <c r="H21" s="32" t="s">
        <v>37</v>
      </c>
      <c r="I21" s="33">
        <v>0</v>
      </c>
      <c r="J21" s="28"/>
      <c r="M21" s="1" t="s">
        <v>49</v>
      </c>
      <c r="N21" s="1" t="s">
        <v>50</v>
      </c>
      <c r="Z21" s="8"/>
      <c r="AA21" s="34"/>
      <c r="AB21" s="34"/>
      <c r="AC21" s="2"/>
      <c r="AD21" s="8"/>
    </row>
    <row r="22" spans="1:30" x14ac:dyDescent="0.2">
      <c r="A22" s="35"/>
      <c r="B22" s="36" t="s">
        <v>51</v>
      </c>
      <c r="C22" s="37" t="s">
        <v>52</v>
      </c>
      <c r="D22" s="38">
        <v>7</v>
      </c>
      <c r="E22" s="39">
        <v>100000</v>
      </c>
      <c r="F22" s="40">
        <v>0</v>
      </c>
      <c r="G22" s="41"/>
      <c r="H22" s="42" t="s">
        <v>37</v>
      </c>
      <c r="I22" s="43">
        <v>1</v>
      </c>
      <c r="J22" s="44"/>
      <c r="Z22" s="8"/>
      <c r="AA22" s="34"/>
      <c r="AB22" s="34"/>
      <c r="AC22" s="2"/>
      <c r="AD22" s="8"/>
    </row>
    <row r="23" spans="1:30" x14ac:dyDescent="0.2">
      <c r="A23" s="45"/>
      <c r="B23" s="46" t="s">
        <v>53</v>
      </c>
      <c r="C23" s="37" t="s">
        <v>54</v>
      </c>
      <c r="D23" s="38">
        <v>8</v>
      </c>
      <c r="E23" s="39">
        <v>100000</v>
      </c>
      <c r="F23" s="40">
        <v>0</v>
      </c>
      <c r="G23" s="41"/>
      <c r="H23" s="42" t="s">
        <v>37</v>
      </c>
      <c r="I23" s="43">
        <v>1</v>
      </c>
      <c r="J23" s="44"/>
      <c r="L23" s="5" t="s">
        <v>55</v>
      </c>
      <c r="Z23" s="8"/>
      <c r="AA23" s="8"/>
      <c r="AB23" s="8"/>
      <c r="AC23" s="8"/>
      <c r="AD23" s="8"/>
    </row>
    <row r="24" spans="1:30" x14ac:dyDescent="0.2">
      <c r="A24" s="45"/>
      <c r="B24" s="44" t="s">
        <v>56</v>
      </c>
      <c r="C24" s="44" t="s">
        <v>57</v>
      </c>
      <c r="D24" s="38">
        <v>9</v>
      </c>
      <c r="E24" s="38">
        <v>100000</v>
      </c>
      <c r="F24" s="40">
        <v>0</v>
      </c>
      <c r="G24" s="41"/>
      <c r="H24" s="42" t="s">
        <v>37</v>
      </c>
      <c r="I24" s="43">
        <v>1</v>
      </c>
      <c r="J24" s="44"/>
      <c r="L24" s="47" t="s">
        <v>58</v>
      </c>
    </row>
    <row r="25" spans="1:30" x14ac:dyDescent="0.2">
      <c r="A25" s="45"/>
      <c r="B25" s="44" t="s">
        <v>59</v>
      </c>
      <c r="C25" s="37" t="s">
        <v>60</v>
      </c>
      <c r="D25" s="48">
        <v>10</v>
      </c>
      <c r="E25" s="49">
        <v>100000</v>
      </c>
      <c r="F25" s="40">
        <v>0</v>
      </c>
      <c r="G25" s="41"/>
      <c r="H25" s="42" t="s">
        <v>37</v>
      </c>
      <c r="I25" s="43">
        <v>1</v>
      </c>
      <c r="J25" s="44"/>
      <c r="L25" s="1" t="s">
        <v>61</v>
      </c>
    </row>
    <row r="26" spans="1:30" x14ac:dyDescent="0.2">
      <c r="A26" s="45"/>
      <c r="B26" s="44"/>
      <c r="C26" s="37"/>
      <c r="D26" s="48"/>
      <c r="E26" s="49"/>
      <c r="F26" s="40"/>
      <c r="G26" s="41"/>
      <c r="H26" s="42"/>
      <c r="I26" s="43"/>
      <c r="J26" s="44"/>
      <c r="L26" s="1" t="s">
        <v>62</v>
      </c>
    </row>
    <row r="27" spans="1:30" x14ac:dyDescent="0.2">
      <c r="A27" s="45"/>
      <c r="B27" s="44"/>
      <c r="C27" s="44"/>
      <c r="D27" s="48"/>
      <c r="E27" s="48"/>
      <c r="F27" s="40"/>
      <c r="G27" s="41"/>
      <c r="H27" s="42"/>
      <c r="I27" s="43"/>
      <c r="J27" s="44"/>
    </row>
    <row r="28" spans="1:30" x14ac:dyDescent="0.2">
      <c r="A28" s="45"/>
      <c r="B28" s="44"/>
      <c r="C28" s="44"/>
      <c r="D28" s="48"/>
      <c r="E28" s="48"/>
      <c r="F28" s="40"/>
      <c r="G28" s="41"/>
      <c r="H28" s="42"/>
      <c r="I28" s="43"/>
      <c r="J28" s="44"/>
      <c r="L28" s="5" t="s">
        <v>63</v>
      </c>
    </row>
    <row r="29" spans="1:30" x14ac:dyDescent="0.2">
      <c r="A29" s="45"/>
      <c r="B29" s="44"/>
      <c r="C29" s="44"/>
      <c r="D29" s="48"/>
      <c r="E29" s="48"/>
      <c r="F29" s="40"/>
      <c r="G29" s="41"/>
      <c r="H29" s="42"/>
      <c r="I29" s="43"/>
      <c r="J29" s="44"/>
      <c r="L29" s="7" t="s">
        <v>64</v>
      </c>
    </row>
    <row r="30" spans="1:30" x14ac:dyDescent="0.2">
      <c r="A30" s="45"/>
      <c r="B30" s="50"/>
      <c r="C30" s="37"/>
      <c r="D30" s="38"/>
      <c r="E30" s="39"/>
      <c r="F30" s="40"/>
      <c r="G30" s="41"/>
      <c r="H30" s="42"/>
      <c r="I30" s="43"/>
      <c r="J30" s="44"/>
      <c r="L30" s="7" t="s">
        <v>65</v>
      </c>
    </row>
    <row r="31" spans="1:30" x14ac:dyDescent="0.2">
      <c r="A31" s="45"/>
      <c r="B31" s="44"/>
      <c r="C31" s="37"/>
      <c r="D31" s="38"/>
      <c r="E31" s="39"/>
      <c r="F31" s="40"/>
      <c r="G31" s="41"/>
      <c r="H31" s="42"/>
      <c r="I31" s="43"/>
      <c r="J31" s="44"/>
    </row>
    <row r="32" spans="1:30" x14ac:dyDescent="0.2">
      <c r="A32" s="45"/>
      <c r="B32" s="44"/>
      <c r="C32" s="44"/>
      <c r="D32" s="38"/>
      <c r="E32" s="38"/>
      <c r="F32" s="40"/>
      <c r="G32" s="41"/>
      <c r="H32" s="42"/>
      <c r="I32" s="43"/>
      <c r="J32" s="44"/>
    </row>
    <row r="33" spans="1:26" x14ac:dyDescent="0.2">
      <c r="A33" s="45"/>
      <c r="B33" s="44"/>
      <c r="C33" s="37"/>
      <c r="D33" s="48"/>
      <c r="E33" s="49"/>
      <c r="F33" s="40"/>
      <c r="G33" s="41"/>
      <c r="H33" s="42"/>
      <c r="I33" s="43"/>
      <c r="J33" s="44"/>
    </row>
    <row r="34" spans="1:26" x14ac:dyDescent="0.2">
      <c r="A34" s="45"/>
      <c r="B34" s="44"/>
      <c r="C34" s="37"/>
      <c r="D34" s="48"/>
      <c r="E34" s="49"/>
      <c r="F34" s="40"/>
      <c r="G34" s="41"/>
      <c r="H34" s="42"/>
      <c r="I34" s="43"/>
      <c r="J34" s="44"/>
    </row>
    <row r="35" spans="1:26" x14ac:dyDescent="0.2">
      <c r="A35" s="45"/>
      <c r="B35" s="51"/>
      <c r="C35" s="51"/>
      <c r="D35" s="52"/>
      <c r="E35" s="52"/>
      <c r="F35" s="53"/>
      <c r="G35" s="54"/>
      <c r="H35" s="55"/>
      <c r="I35" s="56"/>
      <c r="J35" s="51"/>
    </row>
    <row r="37" spans="1:26" x14ac:dyDescent="0.2">
      <c r="Z37" s="57"/>
    </row>
    <row r="38" spans="1:26" x14ac:dyDescent="0.2">
      <c r="B38" s="5" t="s">
        <v>66</v>
      </c>
      <c r="F38" s="5"/>
    </row>
    <row r="39" spans="1:26" ht="14.25" customHeight="1" x14ac:dyDescent="0.2">
      <c r="B39" s="58" t="s">
        <v>67</v>
      </c>
      <c r="C39" s="59"/>
      <c r="D39" s="60" t="s">
        <v>68</v>
      </c>
    </row>
    <row r="40" spans="1:26" ht="13.5" customHeight="1" x14ac:dyDescent="0.2">
      <c r="B40" s="61" t="s">
        <v>69</v>
      </c>
      <c r="C40" s="62"/>
      <c r="D40" s="63" t="s">
        <v>70</v>
      </c>
      <c r="U40" s="64"/>
      <c r="V40" s="64"/>
    </row>
    <row r="41" spans="1:26" ht="14.25" customHeight="1" x14ac:dyDescent="0.2">
      <c r="B41" s="65" t="s">
        <v>71</v>
      </c>
      <c r="C41" s="66"/>
      <c r="D41" s="63" t="s">
        <v>72</v>
      </c>
      <c r="U41" s="64"/>
      <c r="V41" s="64"/>
    </row>
    <row r="42" spans="1:26" ht="13.5" customHeight="1" x14ac:dyDescent="0.2">
      <c r="B42" s="65" t="s">
        <v>73</v>
      </c>
      <c r="C42" s="67" t="e">
        <f>ABS(ROUND(C39/C40*COS(C41/1000*f_supply*2*PI())*1000,2))</f>
        <v>#DIV/0!</v>
      </c>
      <c r="D42" s="63" t="s">
        <v>74</v>
      </c>
      <c r="U42" s="64"/>
      <c r="V42" s="64"/>
    </row>
    <row r="43" spans="1:26" ht="14.25" customHeight="1" x14ac:dyDescent="0.2">
      <c r="B43" s="68" t="s">
        <v>75</v>
      </c>
      <c r="C43" s="69" t="e">
        <f>ABS(ROUND(C39/(2*PI()*f_supply*C40)*SIN(C41/1000*f_supply*2*PI())*1000000,2))</f>
        <v>#DIV/0!</v>
      </c>
      <c r="D43" s="70" t="s">
        <v>76</v>
      </c>
      <c r="U43" s="64"/>
      <c r="V43" s="64"/>
    </row>
    <row r="44" spans="1:26" ht="13.5" customHeight="1" x14ac:dyDescent="0.2">
      <c r="R44" s="64"/>
      <c r="S44" s="64"/>
      <c r="T44" s="64"/>
      <c r="U44" s="64"/>
      <c r="V44" s="64"/>
    </row>
    <row r="45" spans="1:26" x14ac:dyDescent="0.2">
      <c r="R45" s="64"/>
      <c r="S45" s="64"/>
      <c r="T45" s="64"/>
      <c r="U45" s="64"/>
      <c r="V45" s="64"/>
    </row>
    <row r="46" spans="1:26" x14ac:dyDescent="0.2">
      <c r="R46" s="64"/>
      <c r="S46" s="64"/>
      <c r="T46" s="64"/>
      <c r="U46" s="64"/>
      <c r="V46" s="64"/>
    </row>
    <row r="47" spans="1:26" x14ac:dyDescent="0.2">
      <c r="R47" s="64"/>
      <c r="S47" s="64"/>
      <c r="T47" s="64"/>
      <c r="U47" s="64"/>
      <c r="V47" s="64"/>
    </row>
    <row r="48" spans="1:26" x14ac:dyDescent="0.2">
      <c r="H48" s="64"/>
      <c r="I48" s="64"/>
      <c r="R48" s="64"/>
      <c r="S48" s="64"/>
      <c r="T48" s="64"/>
      <c r="U48" s="64"/>
      <c r="V48" s="64"/>
    </row>
    <row r="49" spans="1:22" x14ac:dyDescent="0.2">
      <c r="D49" s="2">
        <v>1</v>
      </c>
      <c r="E49" s="2">
        <v>2</v>
      </c>
      <c r="F49" s="2">
        <v>3</v>
      </c>
      <c r="G49" s="2">
        <v>4</v>
      </c>
      <c r="H49" s="2">
        <v>5</v>
      </c>
      <c r="I49" s="2">
        <v>6</v>
      </c>
      <c r="J49" s="2">
        <v>7</v>
      </c>
      <c r="K49" s="2"/>
      <c r="R49" s="64"/>
      <c r="S49" s="64"/>
      <c r="T49" s="64"/>
      <c r="U49" s="64"/>
      <c r="V49" s="64"/>
    </row>
    <row r="50" spans="1:22" ht="15" x14ac:dyDescent="0.25">
      <c r="D50" s="17" t="s">
        <v>30</v>
      </c>
      <c r="E50" s="20" t="s">
        <v>33</v>
      </c>
      <c r="F50" s="20" t="s">
        <v>77</v>
      </c>
      <c r="G50" s="20" t="s">
        <v>78</v>
      </c>
      <c r="H50" s="20" t="s">
        <v>79</v>
      </c>
      <c r="I50" s="20" t="s">
        <v>80</v>
      </c>
      <c r="J50" s="28" t="s">
        <v>81</v>
      </c>
      <c r="K50" s="71"/>
      <c r="R50" s="64"/>
      <c r="S50" s="64"/>
      <c r="T50" s="64"/>
      <c r="U50" s="64"/>
      <c r="V50" s="64"/>
    </row>
    <row r="51" spans="1:22" x14ac:dyDescent="0.2">
      <c r="H51" s="64"/>
      <c r="I51" s="64"/>
      <c r="R51" s="64"/>
      <c r="S51" s="64"/>
      <c r="T51" s="64"/>
      <c r="U51" s="64"/>
      <c r="V51" s="64"/>
    </row>
    <row r="52" spans="1:22" x14ac:dyDescent="0.2">
      <c r="B52" s="64"/>
      <c r="C52" s="64"/>
      <c r="D52" s="64"/>
      <c r="E52" s="64"/>
      <c r="F52" s="64"/>
      <c r="G52" s="64"/>
      <c r="H52" s="64"/>
      <c r="I52" s="64"/>
      <c r="R52" s="64"/>
      <c r="S52" s="64"/>
      <c r="T52" s="64"/>
      <c r="U52" s="64"/>
      <c r="V52" s="64"/>
    </row>
    <row r="53" spans="1:22" x14ac:dyDescent="0.2">
      <c r="B53" s="64"/>
      <c r="C53" s="64"/>
      <c r="D53" s="64"/>
      <c r="E53" s="64"/>
      <c r="F53" s="64"/>
      <c r="G53" s="64"/>
      <c r="H53" s="64"/>
      <c r="I53" s="64"/>
      <c r="R53" s="64"/>
      <c r="S53" s="64"/>
      <c r="T53" s="64"/>
      <c r="U53" s="64"/>
      <c r="V53" s="64"/>
    </row>
    <row r="54" spans="1:22" x14ac:dyDescent="0.2">
      <c r="B54" s="64"/>
      <c r="C54" s="64"/>
      <c r="D54" s="64"/>
      <c r="E54" s="64"/>
      <c r="F54" s="64"/>
      <c r="G54" s="64"/>
      <c r="H54" s="64"/>
      <c r="I54" s="64"/>
      <c r="R54" s="64"/>
      <c r="S54" s="64"/>
      <c r="T54" s="64"/>
      <c r="U54" s="64"/>
      <c r="V54" s="64"/>
    </row>
    <row r="55" spans="1:22" x14ac:dyDescent="0.2">
      <c r="B55" s="64"/>
      <c r="C55" s="64"/>
      <c r="D55" s="64"/>
      <c r="E55" s="64"/>
      <c r="F55" s="64"/>
      <c r="G55" s="64"/>
      <c r="H55" s="64"/>
      <c r="I55" s="64"/>
      <c r="R55" s="64"/>
      <c r="S55" s="64"/>
      <c r="T55" s="64"/>
      <c r="U55" s="64"/>
      <c r="V55" s="64"/>
    </row>
    <row r="56" spans="1:22" x14ac:dyDescent="0.2">
      <c r="B56" s="64"/>
      <c r="C56" s="64"/>
      <c r="D56" s="64"/>
      <c r="E56" s="64"/>
      <c r="F56" s="64"/>
      <c r="G56" s="64"/>
      <c r="H56" s="64"/>
      <c r="I56" s="64"/>
      <c r="J56" s="64"/>
      <c r="K56" s="64"/>
      <c r="R56" s="64"/>
      <c r="S56" s="64"/>
      <c r="T56" s="64"/>
      <c r="U56" s="64"/>
      <c r="V56" s="64"/>
    </row>
    <row r="57" spans="1:22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</sheetData>
  <dataConsolidate>
    <dataRefs count="1">
      <dataRef ref="AD2:AD5" sheet="Export Shots" r:id="rId1"/>
    </dataRefs>
  </dataConsolidate>
  <dataValidations count="2">
    <dataValidation type="list" allowBlank="1" showInputMessage="1" showErrorMessage="1" sqref="G16">
      <formula1>$AE$2:$AE$4</formula1>
    </dataValidation>
    <dataValidation type="list" allowBlank="1" showInputMessage="1" showErrorMessage="1" sqref="H56 K24 J56">
      <formula1>$AD$2:$AD$3</formula1>
    </dataValidation>
  </dataValidations>
  <pageMargins left="0.75" right="0.75" top="1" bottom="1" header="0.5" footer="0.5"/>
  <pageSetup paperSize="9" scale="86"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5" r:id="rId5" name="btnExport">
          <controlPr defaultSize="0" autoLine="0" r:id="rId6">
            <anchor moveWithCells="1">
              <from>
                <xdr:col>0</xdr:col>
                <xdr:colOff>581025</xdr:colOff>
                <xdr:row>48</xdr:row>
                <xdr:rowOff>152400</xdr:rowOff>
              </from>
              <to>
                <xdr:col>2</xdr:col>
                <xdr:colOff>790575</xdr:colOff>
                <xdr:row>50</xdr:row>
                <xdr:rowOff>95250</xdr:rowOff>
              </to>
            </anchor>
          </controlPr>
        </control>
      </mc:Choice>
      <mc:Fallback>
        <control shapeId="1025" r:id="rId5" name="btnExpor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[1]List!#REF!</xm:f>
          </x14:formula1>
          <xm:sqref>J17:J35</xm:sqref>
        </x14:dataValidation>
        <x14:dataValidation type="list" allowBlank="1" showInputMessage="1" showErrorMessage="1">
          <x14:formula1>
            <xm:f>[1]List!#REF!</xm:f>
          </x14:formula1>
          <xm:sqref>H17:H35</xm:sqref>
        </x14:dataValidation>
        <x14:dataValidation type="list" allowBlank="1" showInputMessage="1" showErrorMessage="1">
          <x14:formula1>
            <xm:f>[1]List!#REF!</xm:f>
          </x14:formula1>
          <xm:sqref>G17:G35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Export Shots</vt:lpstr>
      <vt:lpstr>Sheet1</vt:lpstr>
      <vt:lpstr>Sheet2</vt:lpstr>
      <vt:lpstr>Sheet3</vt:lpstr>
      <vt:lpstr>'Export Shots'!Print_Area</vt:lpstr>
      <vt:lpstr>travel</vt:lpstr>
    </vt:vector>
  </TitlesOfParts>
  <Company>ABB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Vobis, Daniel</dc:creator>
  <cp:lastModifiedBy>Vobis, Daniel</cp:lastModifiedBy>
  <dcterms:created xsi:type="dcterms:W3CDTF">2012-03-02T10:09:21Z</dcterms:created>
  <dcterms:modified xsi:type="dcterms:W3CDTF">2012-03-02T10:10:17Z</dcterms:modified>
</cp:coreProperties>
</file>